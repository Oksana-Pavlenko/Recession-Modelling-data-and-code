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6673DFD2F5B262/Documents_OneDrive/Zinatne/2026-Frontiers-Recession-Forecast-Paper/"/>
    </mc:Choice>
  </mc:AlternateContent>
  <xr:revisionPtr revIDLastSave="5" documentId="8_{5C06073D-4749-4379-B15D-5EC8940C2C0F}" xr6:coauthVersionLast="47" xr6:coauthVersionMax="47" xr10:uidLastSave="{80B103FE-5E73-472F-B8FC-69D2E1D01D16}"/>
  <bookViews>
    <workbookView xWindow="-108" yWindow="-108" windowWidth="23256" windowHeight="12456" xr2:uid="{E955B46B-09C6-440C-84DF-6A3AE514EB50}"/>
  </bookViews>
  <sheets>
    <sheet name="1" sheetId="9" r:id="rId1"/>
    <sheet name="without H" sheetId="8" r:id="rId2"/>
    <sheet name="AvailableData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82" i="10" l="1"/>
  <c r="AC83" i="10" s="1"/>
  <c r="AC84" i="10" s="1"/>
  <c r="S81" i="10"/>
  <c r="S82" i="10" s="1"/>
  <c r="S83" i="10" s="1"/>
  <c r="I80" i="10"/>
  <c r="I81" i="10" s="1"/>
  <c r="I82" i="10" s="1"/>
  <c r="I68" i="9"/>
  <c r="I69" i="9" s="1"/>
  <c r="I70" i="9" s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3" i="8"/>
  <c r="E2" i="8"/>
  <c r="AA78" i="8"/>
  <c r="AA79" i="8" s="1"/>
  <c r="AA80" i="8" s="1"/>
  <c r="R77" i="8"/>
  <c r="R78" i="8" s="1"/>
  <c r="R79" i="8" s="1"/>
  <c r="I76" i="8"/>
  <c r="I77" i="8" s="1"/>
  <c r="I78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1649B6-EA5A-404D-89E1-A0D93483EC19}" keepAlive="1" name="Query - Page075" description="Connection to the 'Page075' query in the workbook." type="5" refreshedVersion="7" background="1" saveData="1">
    <dbPr connection="Provider=Microsoft.Mashup.OleDb.1;Data Source=$Workbook$;Location=Page075;Extended Properties=&quot;&quot;" command="SELECT * FROM [Page075]"/>
  </connection>
  <connection id="2" xr16:uid="{2E870096-EEC3-4735-97E1-1D8D022DF9A5}" keepAlive="1" name="Query - Page076" description="Connection to the 'Page076' query in the workbook." type="5" refreshedVersion="0" background="1">
    <dbPr connection="Provider=Microsoft.Mashup.OleDb.1;Data Source=$Workbook$;Location=Page076;Extended Properties=&quot;&quot;" command="SELECT * FROM [Page076]"/>
  </connection>
  <connection id="3" xr16:uid="{F9118741-E6C7-4481-B183-501A12A54611}" keepAlive="1" name="Query - Page077" description="Connection to the 'Page077' query in the workbook." type="5" refreshedVersion="0" background="1">
    <dbPr connection="Provider=Microsoft.Mashup.OleDb.1;Data Source=$Workbook$;Location=Page077;Extended Properties=&quot;&quot;" command="SELECT * FROM [Page077]"/>
  </connection>
  <connection id="4" xr16:uid="{A6961747-3A8B-44B5-8EA1-7F96A030094A}" keepAlive="1" name="Query - Page078" description="Connection to the 'Page078' query in the workbook." type="5" refreshedVersion="0" background="1">
    <dbPr connection="Provider=Microsoft.Mashup.OleDb.1;Data Source=$Workbook$;Location=Page078;Extended Properties=&quot;&quot;" command="SELECT * FROM [Page078]"/>
  </connection>
  <connection id="5" xr16:uid="{2EC61D7C-A2FE-4E13-A416-1EF93C2E2E5E}" keepAlive="1" name="Query - Page079" description="Connection to the 'Page079' query in the workbook." type="5" refreshedVersion="0" background="1">
    <dbPr connection="Provider=Microsoft.Mashup.OleDb.1;Data Source=$Workbook$;Location=Page079;Extended Properties=&quot;&quot;" command="SELECT * FROM [Page079]"/>
  </connection>
</connections>
</file>

<file path=xl/sharedStrings.xml><?xml version="1.0" encoding="utf-8"?>
<sst xmlns="http://schemas.openxmlformats.org/spreadsheetml/2006/main" count="312" uniqueCount="122">
  <si>
    <t>YrAndQrt</t>
  </si>
  <si>
    <t>Export</t>
  </si>
  <si>
    <t>Confidence</t>
  </si>
  <si>
    <t>Inflation</t>
  </si>
  <si>
    <t>Tension</t>
  </si>
  <si>
    <t>Unemployment</t>
  </si>
  <si>
    <t>RealGDP</t>
  </si>
  <si>
    <t>Recesion</t>
  </si>
  <si>
    <t>2005
Q3</t>
  </si>
  <si>
    <t>2005
Q4</t>
  </si>
  <si>
    <t>2006
Q1</t>
  </si>
  <si>
    <t>2006
Q2</t>
  </si>
  <si>
    <t>2006
Q3</t>
  </si>
  <si>
    <t>2006
Q4</t>
  </si>
  <si>
    <t>2007
Q1</t>
  </si>
  <si>
    <t>2007
Q2</t>
  </si>
  <si>
    <t>2007
Q3</t>
  </si>
  <si>
    <t>2007
Q4</t>
  </si>
  <si>
    <t>2008
Q1</t>
  </si>
  <si>
    <t>2008
Q2</t>
  </si>
  <si>
    <t>2008
Q3</t>
  </si>
  <si>
    <t>2008
Q4</t>
  </si>
  <si>
    <t>2009
Q1</t>
  </si>
  <si>
    <t>2009
Q2</t>
  </si>
  <si>
    <t>2009
Q3</t>
  </si>
  <si>
    <t>2009
Q4</t>
  </si>
  <si>
    <t>2010
Q1</t>
  </si>
  <si>
    <t>2010
Q2</t>
  </si>
  <si>
    <t>2010
Q3</t>
  </si>
  <si>
    <t>2010
Q4</t>
  </si>
  <si>
    <t>2011
Q1</t>
  </si>
  <si>
    <t>2011
Q2</t>
  </si>
  <si>
    <t>2011
Q3</t>
  </si>
  <si>
    <t>2011
Q4</t>
  </si>
  <si>
    <t>2012
Q1</t>
  </si>
  <si>
    <t>2012
Q2</t>
  </si>
  <si>
    <t>2012
Q3</t>
  </si>
  <si>
    <t>2012
Q4</t>
  </si>
  <si>
    <t>2013
Q1</t>
  </si>
  <si>
    <t>2013
Q2</t>
  </si>
  <si>
    <t>2013
Q3</t>
  </si>
  <si>
    <t>2013
Q4</t>
  </si>
  <si>
    <t>2014
Q1</t>
  </si>
  <si>
    <t>2014
Q2</t>
  </si>
  <si>
    <t>2014
Q3</t>
  </si>
  <si>
    <t>2014
Q4</t>
  </si>
  <si>
    <t>2015
Q1</t>
  </si>
  <si>
    <t>2015
Q2</t>
  </si>
  <si>
    <t>2015
Q3</t>
  </si>
  <si>
    <t>2015
Q4</t>
  </si>
  <si>
    <t>2016
Q1</t>
  </si>
  <si>
    <t>2016
Q2</t>
  </si>
  <si>
    <t>2016
Q3</t>
  </si>
  <si>
    <t>2016
Q4</t>
  </si>
  <si>
    <t>2017
Q1</t>
  </si>
  <si>
    <t>2017
Q2</t>
  </si>
  <si>
    <t>2017
Q3</t>
  </si>
  <si>
    <t>2017
Q4</t>
  </si>
  <si>
    <t>2018
Q1</t>
  </si>
  <si>
    <t>2018
Q2</t>
  </si>
  <si>
    <t>2018
Q3</t>
  </si>
  <si>
    <t>2018
Q4</t>
  </si>
  <si>
    <t>2019
Q1</t>
  </si>
  <si>
    <t>2019
Q2</t>
  </si>
  <si>
    <t>2019
Q3</t>
  </si>
  <si>
    <t>2019
Q4</t>
  </si>
  <si>
    <t>2020
Q1</t>
  </si>
  <si>
    <t>2020
Q2</t>
  </si>
  <si>
    <t>2020
Q3</t>
  </si>
  <si>
    <t>2020
Q4</t>
  </si>
  <si>
    <t>2021
Q1</t>
  </si>
  <si>
    <t>2021
Q2</t>
  </si>
  <si>
    <t>2021
Q3</t>
  </si>
  <si>
    <t>2021
Q4</t>
  </si>
  <si>
    <t>2022
Q1</t>
  </si>
  <si>
    <t>2022
Q2</t>
  </si>
  <si>
    <t>2022
Q3</t>
  </si>
  <si>
    <t>2022
Q4</t>
  </si>
  <si>
    <t>I2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</si>
  <si>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</si>
  <si>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</si>
  <si>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</si>
  <si>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</si>
  <si>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</si>
  <si>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</si>
  <si>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</si>
  <si>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</si>
  <si>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</si>
  <si>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</si>
  <si>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</si>
  <si>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</si>
  <si>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Export1</t>
  </si>
  <si>
    <t>C1</t>
  </si>
  <si>
    <t>I1</t>
  </si>
  <si>
    <t>T1</t>
  </si>
  <si>
    <t>U1</t>
  </si>
  <si>
    <t>GDP1</t>
  </si>
  <si>
    <t>E2</t>
  </si>
  <si>
    <t>C2</t>
  </si>
  <si>
    <t>T2</t>
  </si>
  <si>
    <t>U2</t>
  </si>
  <si>
    <t>GDP2</t>
  </si>
  <si>
    <t>Cov2</t>
  </si>
  <si>
    <t>Cov</t>
  </si>
  <si>
    <t>R3m</t>
  </si>
  <si>
    <t>R3m1</t>
  </si>
  <si>
    <t>R3m2</t>
  </si>
  <si>
    <t>Cov1</t>
  </si>
  <si>
    <t>R1</t>
  </si>
  <si>
    <t>R2</t>
  </si>
  <si>
    <t>dR3</t>
  </si>
  <si>
    <t>HousingCost</t>
  </si>
  <si>
    <t>3mRate</t>
  </si>
  <si>
    <t>CovidInd</t>
  </si>
  <si>
    <t>CH1</t>
  </si>
  <si>
    <t>3mR1</t>
  </si>
  <si>
    <t>CH2</t>
  </si>
  <si>
    <t>3mR2</t>
  </si>
  <si>
    <t>2004
Q3</t>
  </si>
  <si>
    <t>2004
Q4</t>
  </si>
  <si>
    <t>2005
Q1</t>
  </si>
  <si>
    <t>2005
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</si>
</sst>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double">
        <color auto="1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NumberForma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166" fontId="1" fillId="0" borderId="0" xfId="0" applyNumberFormat="1" applyFont="1" applyFill="1" applyAlignment="1">
      <alignment horizontal="center"/>
    </xf>
    <xf numFmtId="0" fontId="0" fillId="2" borderId="0" xfId="0" applyNumberFormat="1" applyFill="1" applyAlignment="1">
      <alignment horizontal="center"/>
    </xf>
    <xf numFmtId="164" fontId="1" fillId="2" borderId="0" xfId="0" applyNumberFormat="1" applyFont="1" applyFill="1"/>
    <xf numFmtId="165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right" vertical="center" shrinkToFit="1"/>
    </xf>
    <xf numFmtId="0" fontId="0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/>
    </xf>
    <xf numFmtId="164" fontId="1" fillId="0" borderId="0" xfId="0" applyNumberFormat="1" applyFont="1" applyFill="1"/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right" vertical="center" shrinkToFit="1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NumberFormat="1" applyFont="1" applyFill="1" applyAlignment="1">
      <alignment horizontal="left"/>
    </xf>
    <xf numFmtId="0" fontId="1" fillId="0" borderId="3" xfId="0" applyNumberFormat="1" applyFont="1" applyFill="1" applyBorder="1" applyAlignment="1">
      <alignment horizontal="center"/>
    </xf>
    <xf numFmtId="164" fontId="1" fillId="0" borderId="3" xfId="0" applyNumberFormat="1" applyFont="1" applyFill="1" applyBorder="1"/>
    <xf numFmtId="164" fontId="1" fillId="2" borderId="3" xfId="0" applyNumberFormat="1" applyFont="1" applyFill="1" applyBorder="1"/>
    <xf numFmtId="0" fontId="4" fillId="0" borderId="0" xfId="0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Fill="1"/>
    <xf numFmtId="0" fontId="4" fillId="2" borderId="0" xfId="0" applyFont="1" applyFill="1"/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0" xfId="0" applyNumberFormat="1" applyFont="1"/>
    <xf numFmtId="165" fontId="0" fillId="3" borderId="0" xfId="0" applyNumberFormat="1" applyFill="1" applyAlignment="1">
      <alignment horizontal="center"/>
    </xf>
    <xf numFmtId="165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 shrinkToFit="1"/>
    </xf>
    <xf numFmtId="0" fontId="0" fillId="0" borderId="3" xfId="0" applyBorder="1"/>
    <xf numFmtId="0" fontId="0" fillId="0" borderId="0" xfId="0" applyAlignment="1">
      <alignment horizontal="center"/>
    </xf>
    <xf numFmtId="164" fontId="1" fillId="0" borderId="3" xfId="0" applyNumberFormat="1" applyFont="1" applyBorder="1"/>
    <xf numFmtId="165" fontId="0" fillId="0" borderId="0" xfId="0" applyNumberFormat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0" xfId="0" applyFill="1" applyAlignment="1">
      <alignment horizontal="center"/>
    </xf>
    <xf numFmtId="0" fontId="0" fillId="0" borderId="0" xfId="0" applyFill="1"/>
    <xf numFmtId="1" fontId="1" fillId="0" borderId="0" xfId="0" applyNumberFormat="1" applyFont="1" applyFill="1" applyAlignment="1">
      <alignment horizontal="center"/>
    </xf>
    <xf numFmtId="0" fontId="5" fillId="0" borderId="0" xfId="0" applyFont="1" applyFill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E188-6A4F-40D5-9CEB-346046678190}">
  <dimension ref="A1:J75"/>
  <sheetViews>
    <sheetView tabSelected="1" workbookViewId="0">
      <selection activeCell="H18" sqref="H18"/>
    </sheetView>
  </sheetViews>
  <sheetFormatPr defaultRowHeight="14.4" x14ac:dyDescent="0.3"/>
  <sheetData>
    <row r="1" spans="1:10" ht="15" customHeight="1" x14ac:dyDescent="0.3">
      <c r="A1" s="3" t="s">
        <v>0</v>
      </c>
      <c r="B1" s="3" t="s">
        <v>1</v>
      </c>
      <c r="C1" s="3" t="s">
        <v>111</v>
      </c>
      <c r="D1" s="3" t="s">
        <v>2</v>
      </c>
      <c r="E1" s="3" t="s">
        <v>3</v>
      </c>
      <c r="F1" s="3" t="s">
        <v>104</v>
      </c>
      <c r="G1" s="3" t="s">
        <v>4</v>
      </c>
      <c r="H1" s="33" t="s">
        <v>5</v>
      </c>
      <c r="I1" s="3" t="s">
        <v>103</v>
      </c>
      <c r="J1" s="3" t="s">
        <v>7</v>
      </c>
    </row>
    <row r="2" spans="1:10" x14ac:dyDescent="0.3">
      <c r="A2" s="23" t="s">
        <v>16</v>
      </c>
      <c r="B2" s="8">
        <v>1460.9</v>
      </c>
      <c r="C2" s="12">
        <v>36.5</v>
      </c>
      <c r="D2" s="10">
        <v>3.9333333333333331</v>
      </c>
      <c r="E2" s="11">
        <v>7.8</v>
      </c>
      <c r="F2" s="12">
        <v>8.51</v>
      </c>
      <c r="G2" s="9">
        <v>57.7</v>
      </c>
      <c r="H2" s="13">
        <v>5.6438930630788045E-2</v>
      </c>
      <c r="I2" s="24">
        <v>0</v>
      </c>
      <c r="J2" s="34">
        <v>0</v>
      </c>
    </row>
    <row r="3" spans="1:10" x14ac:dyDescent="0.3">
      <c r="A3" s="23" t="s">
        <v>17</v>
      </c>
      <c r="B3" s="8">
        <v>1551.8</v>
      </c>
      <c r="C3" s="12">
        <v>23.1</v>
      </c>
      <c r="D3" s="10">
        <v>0.80000000000000016</v>
      </c>
      <c r="E3" s="11">
        <v>9.4666666666666668</v>
      </c>
      <c r="F3" s="12">
        <v>11.72</v>
      </c>
      <c r="G3" s="9">
        <v>57.7</v>
      </c>
      <c r="H3" s="13">
        <v>5.2534643045079807E-2</v>
      </c>
      <c r="I3" s="24">
        <v>0</v>
      </c>
      <c r="J3" s="34">
        <v>0</v>
      </c>
    </row>
    <row r="4" spans="1:10" x14ac:dyDescent="0.3">
      <c r="A4" s="23" t="s">
        <v>18</v>
      </c>
      <c r="B4" s="8">
        <v>1528.9</v>
      </c>
      <c r="C4" s="12">
        <v>16.7</v>
      </c>
      <c r="D4" s="10">
        <v>-3.1333333333333333</v>
      </c>
      <c r="E4" s="11">
        <v>11.566666666666668</v>
      </c>
      <c r="F4" s="12">
        <v>7.7</v>
      </c>
      <c r="G4" s="9">
        <v>51.6</v>
      </c>
      <c r="H4" s="13">
        <v>6.7223933128024646E-2</v>
      </c>
      <c r="I4" s="24">
        <v>0</v>
      </c>
      <c r="J4" s="34">
        <v>0</v>
      </c>
    </row>
    <row r="5" spans="1:10" x14ac:dyDescent="0.3">
      <c r="A5" s="23" t="s">
        <v>19</v>
      </c>
      <c r="B5" s="8">
        <v>1620.2</v>
      </c>
      <c r="C5" s="12">
        <v>11.3</v>
      </c>
      <c r="D5" s="10">
        <v>-12.966666666666667</v>
      </c>
      <c r="E5" s="11">
        <v>13.766666666666666</v>
      </c>
      <c r="F5" s="12">
        <v>5.95</v>
      </c>
      <c r="G5" s="9">
        <v>51.6</v>
      </c>
      <c r="H5" s="13">
        <v>6.5953188897589832E-2</v>
      </c>
      <c r="I5" s="24">
        <v>0</v>
      </c>
      <c r="J5" s="34">
        <v>1</v>
      </c>
    </row>
    <row r="6" spans="1:10" x14ac:dyDescent="0.3">
      <c r="A6" s="23" t="s">
        <v>20</v>
      </c>
      <c r="B6" s="8">
        <v>1683.5</v>
      </c>
      <c r="C6" s="12">
        <v>-3.8</v>
      </c>
      <c r="D6" s="10">
        <v>-14.5</v>
      </c>
      <c r="E6" s="11">
        <v>15.466666666666669</v>
      </c>
      <c r="F6" s="12">
        <v>6.27</v>
      </c>
      <c r="G6" s="9">
        <v>51.6</v>
      </c>
      <c r="H6" s="13">
        <v>7.3938442758740952E-2</v>
      </c>
      <c r="I6" s="24">
        <v>0</v>
      </c>
      <c r="J6" s="34">
        <v>1</v>
      </c>
    </row>
    <row r="7" spans="1:10" x14ac:dyDescent="0.3">
      <c r="A7" s="23" t="s">
        <v>21</v>
      </c>
      <c r="B7" s="8">
        <v>1469.3</v>
      </c>
      <c r="C7" s="12">
        <v>-17.8</v>
      </c>
      <c r="D7" s="10">
        <v>-24.366666666666664</v>
      </c>
      <c r="E7" s="11">
        <v>15.566666666666668</v>
      </c>
      <c r="F7" s="12">
        <v>11.97</v>
      </c>
      <c r="G7" s="9">
        <v>51.6</v>
      </c>
      <c r="H7" s="13">
        <v>0.102462967832413</v>
      </c>
      <c r="I7" s="24">
        <v>0</v>
      </c>
      <c r="J7" s="34">
        <v>1</v>
      </c>
    </row>
    <row r="8" spans="1:10" x14ac:dyDescent="0.3">
      <c r="A8" s="23" t="s">
        <v>22</v>
      </c>
      <c r="B8" s="8">
        <v>1165.8</v>
      </c>
      <c r="C8" s="12">
        <v>-37</v>
      </c>
      <c r="D8" s="10">
        <v>-33.9</v>
      </c>
      <c r="E8" s="11">
        <v>14.066666666666665</v>
      </c>
      <c r="F8" s="12">
        <v>11.6</v>
      </c>
      <c r="G8" s="9">
        <v>61</v>
      </c>
      <c r="H8" s="13">
        <v>0.14246478249313368</v>
      </c>
      <c r="I8" s="24">
        <v>0</v>
      </c>
      <c r="J8" s="34">
        <v>1</v>
      </c>
    </row>
    <row r="9" spans="1:10" x14ac:dyDescent="0.3">
      <c r="A9" s="23" t="s">
        <v>23</v>
      </c>
      <c r="B9" s="8">
        <v>1216.0999999999999</v>
      </c>
      <c r="C9" s="12">
        <v>-42.3</v>
      </c>
      <c r="D9" s="10">
        <v>-26.666666666666668</v>
      </c>
      <c r="E9" s="11">
        <v>11.200000000000001</v>
      </c>
      <c r="F9" s="12">
        <v>15.96</v>
      </c>
      <c r="G9" s="9">
        <v>61</v>
      </c>
      <c r="H9" s="13">
        <v>0.17247558462503362</v>
      </c>
      <c r="I9" s="24">
        <v>0</v>
      </c>
      <c r="J9" s="34">
        <v>1</v>
      </c>
    </row>
    <row r="10" spans="1:10" x14ac:dyDescent="0.3">
      <c r="A10" s="23" t="s">
        <v>24</v>
      </c>
      <c r="B10" s="8">
        <v>1297.7</v>
      </c>
      <c r="C10" s="12">
        <v>-39.1</v>
      </c>
      <c r="D10" s="10">
        <v>-24.166666666666668</v>
      </c>
      <c r="E10" s="11">
        <v>7.666666666666667</v>
      </c>
      <c r="F10" s="12">
        <v>13.91</v>
      </c>
      <c r="G10" s="9">
        <v>61</v>
      </c>
      <c r="H10" s="13">
        <v>0.18782897774494411</v>
      </c>
      <c r="I10" s="24">
        <v>0</v>
      </c>
      <c r="J10" s="34">
        <v>1</v>
      </c>
    </row>
    <row r="11" spans="1:10" x14ac:dyDescent="0.3">
      <c r="A11" s="23" t="s">
        <v>25</v>
      </c>
      <c r="B11" s="8">
        <v>1445.9</v>
      </c>
      <c r="C11" s="12">
        <v>-29.3</v>
      </c>
      <c r="D11" s="10">
        <v>-19.633333333333333</v>
      </c>
      <c r="E11" s="11">
        <v>4.2666666666666666</v>
      </c>
      <c r="F11" s="12">
        <v>11.19</v>
      </c>
      <c r="G11" s="9">
        <v>61</v>
      </c>
      <c r="H11" s="13">
        <v>0.199369143705353</v>
      </c>
      <c r="I11" s="24">
        <v>0</v>
      </c>
      <c r="J11" s="34">
        <v>0</v>
      </c>
    </row>
    <row r="12" spans="1:10" x14ac:dyDescent="0.3">
      <c r="A12" s="23" t="s">
        <v>26</v>
      </c>
      <c r="B12" s="8">
        <v>1338.5</v>
      </c>
      <c r="C12" s="12">
        <v>-20.7</v>
      </c>
      <c r="D12" s="10">
        <v>-14.466666666666669</v>
      </c>
      <c r="E12" s="11">
        <v>1.1333333333333335</v>
      </c>
      <c r="F12" s="12">
        <v>3.46</v>
      </c>
      <c r="G12" s="9">
        <v>65.5</v>
      </c>
      <c r="H12" s="13">
        <v>0.21251778093883356</v>
      </c>
      <c r="I12" s="24">
        <v>0</v>
      </c>
      <c r="J12" s="34">
        <v>0</v>
      </c>
    </row>
    <row r="13" spans="1:10" x14ac:dyDescent="0.3">
      <c r="A13" s="23" t="s">
        <v>27</v>
      </c>
      <c r="B13" s="8">
        <v>1599.2</v>
      </c>
      <c r="C13" s="12">
        <v>-11.5</v>
      </c>
      <c r="D13" s="10">
        <v>-7.3</v>
      </c>
      <c r="E13" s="11">
        <v>-1.1333333333333333</v>
      </c>
      <c r="F13" s="12">
        <v>2.15</v>
      </c>
      <c r="G13" s="9">
        <v>65.5</v>
      </c>
      <c r="H13" s="13">
        <v>0.20385961593037558</v>
      </c>
      <c r="I13" s="24">
        <v>0</v>
      </c>
      <c r="J13" s="34">
        <v>1</v>
      </c>
    </row>
    <row r="14" spans="1:10" x14ac:dyDescent="0.3">
      <c r="A14" s="23" t="s">
        <v>28</v>
      </c>
      <c r="B14" s="8">
        <v>1835.4</v>
      </c>
      <c r="C14" s="12">
        <v>-7.7</v>
      </c>
      <c r="D14" s="10">
        <v>-5.666666666666667</v>
      </c>
      <c r="E14" s="11">
        <v>-1.9333333333333333</v>
      </c>
      <c r="F14" s="12">
        <v>1.41</v>
      </c>
      <c r="G14" s="9">
        <v>65.5</v>
      </c>
      <c r="H14" s="13">
        <v>0.18532420005630101</v>
      </c>
      <c r="I14" s="24">
        <v>0</v>
      </c>
      <c r="J14" s="34">
        <v>1</v>
      </c>
    </row>
    <row r="15" spans="1:10" x14ac:dyDescent="0.3">
      <c r="A15" s="23" t="s">
        <v>29</v>
      </c>
      <c r="B15" s="8">
        <v>1907.1</v>
      </c>
      <c r="C15" s="12">
        <v>-2.4</v>
      </c>
      <c r="D15" s="10">
        <v>-6.2333333333333334</v>
      </c>
      <c r="E15" s="11">
        <v>-1.5</v>
      </c>
      <c r="F15" s="12">
        <v>1</v>
      </c>
      <c r="G15" s="9">
        <v>65.5</v>
      </c>
      <c r="H15" s="13">
        <v>0.17764851721178601</v>
      </c>
      <c r="I15" s="24">
        <v>0</v>
      </c>
      <c r="J15" s="34">
        <v>0</v>
      </c>
    </row>
    <row r="16" spans="1:10" x14ac:dyDescent="0.3">
      <c r="A16" s="23" t="s">
        <v>30</v>
      </c>
      <c r="B16" s="8">
        <v>1890.3</v>
      </c>
      <c r="C16" s="12">
        <v>10.8</v>
      </c>
      <c r="D16" s="10">
        <v>-7.0666666666666664</v>
      </c>
      <c r="E16" s="11">
        <v>0</v>
      </c>
      <c r="F16" s="12">
        <v>0.86</v>
      </c>
      <c r="G16" s="9">
        <v>67.7</v>
      </c>
      <c r="H16" s="13">
        <v>0.17629089475758772</v>
      </c>
      <c r="I16" s="24">
        <v>0</v>
      </c>
      <c r="J16" s="34">
        <v>0</v>
      </c>
    </row>
    <row r="17" spans="1:10" x14ac:dyDescent="0.3">
      <c r="A17" s="23" t="s">
        <v>31</v>
      </c>
      <c r="B17" s="8">
        <v>2120.1</v>
      </c>
      <c r="C17" s="12">
        <v>12.3</v>
      </c>
      <c r="D17" s="10">
        <v>-5.166666666666667</v>
      </c>
      <c r="E17" s="11">
        <v>1.8666666666666665</v>
      </c>
      <c r="F17" s="12">
        <v>0.77</v>
      </c>
      <c r="G17" s="9">
        <v>67.7</v>
      </c>
      <c r="H17" s="13">
        <v>0.17117204093454336</v>
      </c>
      <c r="I17" s="24">
        <v>0</v>
      </c>
      <c r="J17" s="34">
        <v>0</v>
      </c>
    </row>
    <row r="18" spans="1:10" x14ac:dyDescent="0.3">
      <c r="A18" s="23" t="s">
        <v>32</v>
      </c>
      <c r="B18" s="8">
        <v>2234.3000000000002</v>
      </c>
      <c r="C18" s="12">
        <v>13</v>
      </c>
      <c r="D18" s="10">
        <v>-4.333333333333333</v>
      </c>
      <c r="E18" s="11">
        <v>3.2666666666666662</v>
      </c>
      <c r="F18" s="12">
        <v>0.84</v>
      </c>
      <c r="G18" s="9">
        <v>67.7</v>
      </c>
      <c r="H18" s="13">
        <v>0.15080058224163029</v>
      </c>
      <c r="I18" s="24">
        <v>0</v>
      </c>
      <c r="J18" s="34">
        <v>0</v>
      </c>
    </row>
    <row r="19" spans="1:10" x14ac:dyDescent="0.3">
      <c r="A19" s="23" t="s">
        <v>33</v>
      </c>
      <c r="B19" s="8">
        <v>2290.4</v>
      </c>
      <c r="C19" s="12">
        <v>5.8</v>
      </c>
      <c r="D19" s="10">
        <v>-4.9666666666666668</v>
      </c>
      <c r="E19" s="11">
        <v>4.0666666666666664</v>
      </c>
      <c r="F19" s="12">
        <v>1.37</v>
      </c>
      <c r="G19" s="9">
        <v>67.7</v>
      </c>
      <c r="H19" s="13">
        <v>0.15022291141694127</v>
      </c>
      <c r="I19" s="24">
        <v>0</v>
      </c>
      <c r="J19" s="34">
        <v>0</v>
      </c>
    </row>
    <row r="20" spans="1:10" x14ac:dyDescent="0.3">
      <c r="A20" s="23" t="s">
        <v>34</v>
      </c>
      <c r="B20" s="8">
        <v>2160.9</v>
      </c>
      <c r="C20" s="12">
        <v>2.6</v>
      </c>
      <c r="D20" s="10">
        <v>-4.5666666666666664</v>
      </c>
      <c r="E20" s="11">
        <v>4.166666666666667</v>
      </c>
      <c r="F20" s="12">
        <v>1.43</v>
      </c>
      <c r="G20" s="9">
        <v>64.099999999999994</v>
      </c>
      <c r="H20" s="13">
        <v>0.16331360946745563</v>
      </c>
      <c r="I20" s="24">
        <v>0</v>
      </c>
      <c r="J20" s="34">
        <v>0</v>
      </c>
    </row>
    <row r="21" spans="1:10" x14ac:dyDescent="0.3">
      <c r="A21" s="23" t="s">
        <v>35</v>
      </c>
      <c r="B21" s="8">
        <v>2299.9</v>
      </c>
      <c r="C21" s="12">
        <v>2</v>
      </c>
      <c r="D21" s="10">
        <v>-4.4333333333333336</v>
      </c>
      <c r="E21" s="11">
        <v>3.7333333333333329</v>
      </c>
      <c r="F21" s="12">
        <v>0.95</v>
      </c>
      <c r="G21" s="9">
        <v>64.099999999999994</v>
      </c>
      <c r="H21" s="13">
        <v>0.16277047913446677</v>
      </c>
      <c r="I21" s="24">
        <v>0</v>
      </c>
      <c r="J21" s="34">
        <v>0</v>
      </c>
    </row>
    <row r="22" spans="1:10" x14ac:dyDescent="0.3">
      <c r="A22" s="35" t="s">
        <v>36</v>
      </c>
      <c r="B22" s="8">
        <v>2623.3</v>
      </c>
      <c r="C22" s="16">
        <v>1.3</v>
      </c>
      <c r="D22" s="10">
        <v>-3.8000000000000003</v>
      </c>
      <c r="E22" s="11">
        <v>3.1</v>
      </c>
      <c r="F22" s="16">
        <v>0.65</v>
      </c>
      <c r="G22" s="17">
        <v>64.099999999999994</v>
      </c>
      <c r="H22" s="18">
        <v>0.13680656054027979</v>
      </c>
      <c r="I22" s="24">
        <v>0</v>
      </c>
      <c r="J22" s="34">
        <v>0</v>
      </c>
    </row>
    <row r="23" spans="1:10" x14ac:dyDescent="0.3">
      <c r="A23" s="35" t="s">
        <v>37</v>
      </c>
      <c r="B23" s="8">
        <v>2787</v>
      </c>
      <c r="C23" s="16">
        <v>6.1</v>
      </c>
      <c r="D23" s="10">
        <v>-3.0333333333333337</v>
      </c>
      <c r="E23" s="11">
        <v>2.5</v>
      </c>
      <c r="F23" s="16">
        <v>0.53</v>
      </c>
      <c r="G23" s="17">
        <v>64.099999999999994</v>
      </c>
      <c r="H23" s="18">
        <v>0.13931739298110296</v>
      </c>
      <c r="I23" s="24">
        <v>0</v>
      </c>
      <c r="J23" s="34">
        <v>0</v>
      </c>
    </row>
    <row r="24" spans="1:10" x14ac:dyDescent="0.3">
      <c r="A24" s="35" t="s">
        <v>38</v>
      </c>
      <c r="B24" s="8">
        <v>2337.5</v>
      </c>
      <c r="C24" s="16">
        <v>4.8</v>
      </c>
      <c r="D24" s="10">
        <v>-3.4</v>
      </c>
      <c r="E24" s="11">
        <v>1.8333333333333333</v>
      </c>
      <c r="F24" s="16">
        <v>0.49</v>
      </c>
      <c r="G24" s="17">
        <v>55.7</v>
      </c>
      <c r="H24" s="18">
        <v>0.12997924285855489</v>
      </c>
      <c r="I24" s="24">
        <v>0</v>
      </c>
      <c r="J24" s="34">
        <v>0</v>
      </c>
    </row>
    <row r="25" spans="1:10" x14ac:dyDescent="0.3">
      <c r="A25" s="35" t="s">
        <v>39</v>
      </c>
      <c r="B25" s="8">
        <v>2421.6</v>
      </c>
      <c r="C25" s="16">
        <v>7.9</v>
      </c>
      <c r="D25" s="10">
        <v>-3.6666666666666665</v>
      </c>
      <c r="E25" s="11">
        <v>1.1000000000000001</v>
      </c>
      <c r="F25" s="16">
        <v>0.41</v>
      </c>
      <c r="G25" s="17">
        <v>55.7</v>
      </c>
      <c r="H25" s="18">
        <v>0.11427717445451828</v>
      </c>
      <c r="I25" s="24">
        <v>0</v>
      </c>
      <c r="J25" s="34">
        <v>0</v>
      </c>
    </row>
    <row r="26" spans="1:10" x14ac:dyDescent="0.3">
      <c r="A26" s="35" t="s">
        <v>40</v>
      </c>
      <c r="B26" s="8">
        <v>2550.1</v>
      </c>
      <c r="C26" s="16">
        <v>6.5</v>
      </c>
      <c r="D26" s="10">
        <v>-2.5333333333333332</v>
      </c>
      <c r="E26" s="11">
        <v>0.66666666666666663</v>
      </c>
      <c r="F26" s="16">
        <v>0.3</v>
      </c>
      <c r="G26" s="17">
        <v>55.7</v>
      </c>
      <c r="H26" s="18">
        <v>0.11773298276365761</v>
      </c>
      <c r="I26" s="24">
        <v>0</v>
      </c>
      <c r="J26" s="34">
        <v>0</v>
      </c>
    </row>
    <row r="27" spans="1:10" x14ac:dyDescent="0.3">
      <c r="A27" s="35" t="s">
        <v>41</v>
      </c>
      <c r="B27" s="8">
        <v>2712.1</v>
      </c>
      <c r="C27" s="16">
        <v>8.1999999999999993</v>
      </c>
      <c r="D27" s="10">
        <v>-2.7666666666666671</v>
      </c>
      <c r="E27" s="11">
        <v>0.16666666666666666</v>
      </c>
      <c r="F27" s="16">
        <v>0.26</v>
      </c>
      <c r="G27" s="17">
        <v>55.7</v>
      </c>
      <c r="H27" s="18">
        <v>0.11274268256627575</v>
      </c>
      <c r="I27" s="24">
        <v>0</v>
      </c>
      <c r="J27" s="34">
        <v>0</v>
      </c>
    </row>
    <row r="28" spans="1:10" x14ac:dyDescent="0.3">
      <c r="A28" s="35" t="s">
        <v>42</v>
      </c>
      <c r="B28" s="8">
        <v>2450.6999999999998</v>
      </c>
      <c r="C28" s="16">
        <v>10.6</v>
      </c>
      <c r="D28" s="10">
        <v>-3.5</v>
      </c>
      <c r="E28" s="11">
        <v>0</v>
      </c>
      <c r="F28" s="16">
        <v>0.3</v>
      </c>
      <c r="G28" s="17">
        <v>50.9</v>
      </c>
      <c r="H28" s="18">
        <v>0.11866440067979607</v>
      </c>
      <c r="I28" s="24">
        <v>0</v>
      </c>
      <c r="J28" s="34">
        <v>0</v>
      </c>
    </row>
    <row r="29" spans="1:10" x14ac:dyDescent="0.3">
      <c r="A29" s="35" t="s">
        <v>43</v>
      </c>
      <c r="B29" s="8">
        <v>2493.4</v>
      </c>
      <c r="C29" s="16">
        <v>7.7</v>
      </c>
      <c r="D29" s="10">
        <v>-4.3</v>
      </c>
      <c r="E29" s="11">
        <v>0.20000000000000004</v>
      </c>
      <c r="F29" s="16">
        <v>0.3</v>
      </c>
      <c r="G29" s="17">
        <v>50.9</v>
      </c>
      <c r="H29" s="18">
        <v>0.10670149703606953</v>
      </c>
      <c r="I29" s="24">
        <v>0</v>
      </c>
      <c r="J29" s="34">
        <v>0</v>
      </c>
    </row>
    <row r="30" spans="1:10" x14ac:dyDescent="0.3">
      <c r="A30" s="35" t="s">
        <v>44</v>
      </c>
      <c r="B30" s="8">
        <v>2625.5</v>
      </c>
      <c r="C30" s="16">
        <v>10.7</v>
      </c>
      <c r="D30" s="10">
        <v>-3.9666666666666663</v>
      </c>
      <c r="E30" s="11">
        <v>0.3666666666666667</v>
      </c>
      <c r="F30" s="16">
        <v>0.16</v>
      </c>
      <c r="G30" s="17">
        <v>50.9</v>
      </c>
      <c r="H30" s="18">
        <v>0.10589541691903898</v>
      </c>
      <c r="I30" s="24">
        <v>0</v>
      </c>
      <c r="J30" s="34">
        <v>0</v>
      </c>
    </row>
    <row r="31" spans="1:10" x14ac:dyDescent="0.3">
      <c r="A31" s="35" t="s">
        <v>45</v>
      </c>
      <c r="B31" s="8">
        <v>2816.7</v>
      </c>
      <c r="C31" s="16">
        <v>-4.5</v>
      </c>
      <c r="D31" s="10">
        <v>-5.7333333333333343</v>
      </c>
      <c r="E31" s="11">
        <v>0.6</v>
      </c>
      <c r="F31" s="16">
        <v>0.08</v>
      </c>
      <c r="G31" s="17">
        <v>50.9</v>
      </c>
      <c r="H31" s="18">
        <v>0.10246235246235247</v>
      </c>
      <c r="I31" s="24">
        <v>0</v>
      </c>
      <c r="J31" s="34">
        <v>0</v>
      </c>
    </row>
    <row r="32" spans="1:10" x14ac:dyDescent="0.3">
      <c r="A32" s="35" t="s">
        <v>46</v>
      </c>
      <c r="B32" s="8">
        <v>2476.5</v>
      </c>
      <c r="C32" s="16">
        <v>-6.5</v>
      </c>
      <c r="D32" s="10">
        <v>-8</v>
      </c>
      <c r="E32" s="11">
        <v>0.6</v>
      </c>
      <c r="F32" s="16">
        <v>0.05</v>
      </c>
      <c r="G32" s="17">
        <v>44.6</v>
      </c>
      <c r="H32" s="18">
        <v>0.10217347146049156</v>
      </c>
      <c r="I32" s="24">
        <v>0</v>
      </c>
      <c r="J32" s="34">
        <v>0</v>
      </c>
    </row>
    <row r="33" spans="1:10" x14ac:dyDescent="0.3">
      <c r="A33" s="35" t="s">
        <v>47</v>
      </c>
      <c r="B33" s="8">
        <v>2555.1999999999998</v>
      </c>
      <c r="C33" s="16">
        <v>-4.5999999999999996</v>
      </c>
      <c r="D33" s="10">
        <v>-6.333333333333333</v>
      </c>
      <c r="E33" s="11">
        <v>0.6</v>
      </c>
      <c r="F33" s="16">
        <v>-0.01</v>
      </c>
      <c r="G33" s="17">
        <v>44.6</v>
      </c>
      <c r="H33" s="18">
        <v>9.7558525067818744E-2</v>
      </c>
      <c r="I33" s="24">
        <v>0</v>
      </c>
      <c r="J33" s="34">
        <v>0</v>
      </c>
    </row>
    <row r="34" spans="1:10" x14ac:dyDescent="0.3">
      <c r="A34" s="35" t="s">
        <v>48</v>
      </c>
      <c r="B34" s="8">
        <v>2663.4</v>
      </c>
      <c r="C34" s="16">
        <v>-7.9</v>
      </c>
      <c r="D34" s="10">
        <v>-4.9333333333333336</v>
      </c>
      <c r="E34" s="11">
        <v>0.43333333333333335</v>
      </c>
      <c r="F34" s="16">
        <v>-0.03</v>
      </c>
      <c r="G34" s="17">
        <v>44.6</v>
      </c>
      <c r="H34" s="18">
        <v>9.7006707378115939E-2</v>
      </c>
      <c r="I34" s="24">
        <v>0</v>
      </c>
      <c r="J34" s="34">
        <v>0</v>
      </c>
    </row>
    <row r="35" spans="1:10" x14ac:dyDescent="0.3">
      <c r="A35" s="35" t="s">
        <v>49</v>
      </c>
      <c r="B35" s="8">
        <v>2809.5</v>
      </c>
      <c r="C35" s="16">
        <v>6.6</v>
      </c>
      <c r="D35" s="10">
        <v>-6</v>
      </c>
      <c r="E35" s="11">
        <v>0.23333333333333331</v>
      </c>
      <c r="F35" s="16">
        <v>-0.09</v>
      </c>
      <c r="G35" s="17">
        <v>44.6</v>
      </c>
      <c r="H35" s="18">
        <v>9.8286744815148777E-2</v>
      </c>
      <c r="I35" s="24">
        <v>0</v>
      </c>
      <c r="J35" s="34">
        <v>0</v>
      </c>
    </row>
    <row r="36" spans="1:10" x14ac:dyDescent="0.3">
      <c r="A36" s="35" t="s">
        <v>50</v>
      </c>
      <c r="B36" s="8">
        <v>2391.5</v>
      </c>
      <c r="C36" s="16">
        <v>7.1</v>
      </c>
      <c r="D36" s="10">
        <v>-6.833333333333333</v>
      </c>
      <c r="E36" s="11">
        <v>0.16666666666666666</v>
      </c>
      <c r="F36" s="16">
        <v>-0.19</v>
      </c>
      <c r="G36" s="17">
        <v>41.4</v>
      </c>
      <c r="H36" s="18">
        <v>0.10253305076193359</v>
      </c>
      <c r="I36" s="24">
        <v>0</v>
      </c>
      <c r="J36" s="34">
        <v>0</v>
      </c>
    </row>
    <row r="37" spans="1:10" x14ac:dyDescent="0.3">
      <c r="A37" s="35" t="s">
        <v>51</v>
      </c>
      <c r="B37" s="8">
        <v>2569.5</v>
      </c>
      <c r="C37" s="16">
        <v>9.5</v>
      </c>
      <c r="D37" s="10">
        <v>-3.9333333333333331</v>
      </c>
      <c r="E37" s="11">
        <v>-0.16666666666666666</v>
      </c>
      <c r="F37" s="16">
        <v>-0.26</v>
      </c>
      <c r="G37" s="17">
        <v>41.4</v>
      </c>
      <c r="H37" s="18">
        <v>9.5166163141993956E-2</v>
      </c>
      <c r="I37" s="24">
        <v>0</v>
      </c>
      <c r="J37" s="34">
        <v>0</v>
      </c>
    </row>
    <row r="38" spans="1:10" x14ac:dyDescent="0.3">
      <c r="A38" s="35" t="s">
        <v>52</v>
      </c>
      <c r="B38" s="8">
        <v>2678.2</v>
      </c>
      <c r="C38" s="16">
        <v>9.6</v>
      </c>
      <c r="D38" s="10">
        <v>-3.7333333333333329</v>
      </c>
      <c r="E38" s="11">
        <v>-0.26666666666666666</v>
      </c>
      <c r="F38" s="16">
        <v>-0.3</v>
      </c>
      <c r="G38" s="17">
        <v>41.4</v>
      </c>
      <c r="H38" s="18">
        <v>9.5411360420456851E-2</v>
      </c>
      <c r="I38" s="24">
        <v>0</v>
      </c>
      <c r="J38" s="34">
        <v>0</v>
      </c>
    </row>
    <row r="39" spans="1:10" x14ac:dyDescent="0.3">
      <c r="A39" s="35" t="s">
        <v>53</v>
      </c>
      <c r="B39" s="8">
        <v>2850.8</v>
      </c>
      <c r="C39" s="16">
        <v>7.8</v>
      </c>
      <c r="D39" s="10">
        <v>-2.1999999999999997</v>
      </c>
      <c r="E39" s="11">
        <v>0</v>
      </c>
      <c r="F39" s="16">
        <v>-0.31</v>
      </c>
      <c r="G39" s="17">
        <v>41.4</v>
      </c>
      <c r="H39" s="18">
        <v>9.2539747248267426E-2</v>
      </c>
      <c r="I39" s="24">
        <v>0</v>
      </c>
      <c r="J39" s="34">
        <v>0</v>
      </c>
    </row>
    <row r="40" spans="1:10" x14ac:dyDescent="0.3">
      <c r="A40" s="35" t="s">
        <v>54</v>
      </c>
      <c r="B40" s="8">
        <v>2688</v>
      </c>
      <c r="C40" s="16">
        <v>9.3000000000000007</v>
      </c>
      <c r="D40" s="10">
        <v>-2.1666666666666665</v>
      </c>
      <c r="E40" s="11">
        <v>0.70000000000000007</v>
      </c>
      <c r="F40" s="16">
        <v>-0.33</v>
      </c>
      <c r="G40" s="17">
        <v>40.6</v>
      </c>
      <c r="H40" s="18">
        <v>9.3756418155678783E-2</v>
      </c>
      <c r="I40" s="24">
        <v>0</v>
      </c>
      <c r="J40" s="34">
        <v>0</v>
      </c>
    </row>
    <row r="41" spans="1:10" x14ac:dyDescent="0.3">
      <c r="A41" s="35" t="s">
        <v>55</v>
      </c>
      <c r="B41" s="8">
        <v>2752.6</v>
      </c>
      <c r="C41" s="16">
        <v>9.1</v>
      </c>
      <c r="D41" s="10">
        <v>3.3333333333333326E-2</v>
      </c>
      <c r="E41" s="11">
        <v>1.6000000000000003</v>
      </c>
      <c r="F41" s="16">
        <v>-0.33</v>
      </c>
      <c r="G41" s="17">
        <v>40.6</v>
      </c>
      <c r="H41" s="18">
        <v>8.8520903608300117E-2</v>
      </c>
      <c r="I41" s="24">
        <v>0</v>
      </c>
      <c r="J41" s="34">
        <v>0</v>
      </c>
    </row>
    <row r="42" spans="1:10" x14ac:dyDescent="0.3">
      <c r="A42" s="35" t="s">
        <v>56</v>
      </c>
      <c r="B42" s="8">
        <v>2889</v>
      </c>
      <c r="C42" s="16">
        <v>8.8000000000000007</v>
      </c>
      <c r="D42" s="10">
        <v>1.0999999999999999</v>
      </c>
      <c r="E42" s="11">
        <v>2.3666666666666667</v>
      </c>
      <c r="F42" s="16">
        <v>-0.33</v>
      </c>
      <c r="G42" s="17">
        <v>40.6</v>
      </c>
      <c r="H42" s="18">
        <v>8.5207700101317119E-2</v>
      </c>
      <c r="I42" s="24">
        <v>0</v>
      </c>
      <c r="J42" s="34">
        <v>0</v>
      </c>
    </row>
    <row r="43" spans="1:10" x14ac:dyDescent="0.3">
      <c r="A43" s="35" t="s">
        <v>57</v>
      </c>
      <c r="B43" s="8">
        <v>3157.1</v>
      </c>
      <c r="C43" s="16">
        <v>7.9</v>
      </c>
      <c r="D43" s="10">
        <v>2.2333333333333334</v>
      </c>
      <c r="E43" s="11">
        <v>2.8666666666666667</v>
      </c>
      <c r="F43" s="16">
        <v>-0.33</v>
      </c>
      <c r="G43" s="17">
        <v>40.6</v>
      </c>
      <c r="H43" s="18">
        <v>8.1169161829106842E-2</v>
      </c>
      <c r="I43" s="24">
        <v>0</v>
      </c>
      <c r="J43" s="34">
        <v>0</v>
      </c>
    </row>
    <row r="44" spans="1:10" x14ac:dyDescent="0.3">
      <c r="A44" s="35" t="s">
        <v>58</v>
      </c>
      <c r="B44" s="8">
        <v>2906</v>
      </c>
      <c r="C44" s="16">
        <v>11.4</v>
      </c>
      <c r="D44" s="10">
        <v>0.6333333333333333</v>
      </c>
      <c r="E44" s="11">
        <v>2.6999999999999997</v>
      </c>
      <c r="F44" s="16">
        <v>-0.33</v>
      </c>
      <c r="G44" s="17">
        <v>36.6</v>
      </c>
      <c r="H44" s="18">
        <v>8.1799591002044994E-2</v>
      </c>
      <c r="I44" s="24">
        <v>0</v>
      </c>
      <c r="J44" s="34">
        <v>0</v>
      </c>
    </row>
    <row r="45" spans="1:10" x14ac:dyDescent="0.3">
      <c r="A45" s="35" t="s">
        <v>59</v>
      </c>
      <c r="B45" s="8">
        <v>3090.4</v>
      </c>
      <c r="C45" s="16">
        <v>8.6999999999999993</v>
      </c>
      <c r="D45" s="10">
        <v>0.79999999999999993</v>
      </c>
      <c r="E45" s="11">
        <v>2.5</v>
      </c>
      <c r="F45" s="16">
        <v>-0.33</v>
      </c>
      <c r="G45" s="17">
        <v>36.6</v>
      </c>
      <c r="H45" s="18">
        <v>7.6548223350253811E-2</v>
      </c>
      <c r="I45" s="24">
        <v>0</v>
      </c>
      <c r="J45" s="34">
        <v>0</v>
      </c>
    </row>
    <row r="46" spans="1:10" x14ac:dyDescent="0.3">
      <c r="A46" s="35" t="s">
        <v>60</v>
      </c>
      <c r="B46" s="8">
        <v>3057.9</v>
      </c>
      <c r="C46" s="16">
        <v>7.2</v>
      </c>
      <c r="D46" s="10">
        <v>2.3000000000000003</v>
      </c>
      <c r="E46" s="11">
        <v>2.4666666666666668</v>
      </c>
      <c r="F46" s="16">
        <v>-0.32</v>
      </c>
      <c r="G46" s="17">
        <v>36.6</v>
      </c>
      <c r="H46" s="18">
        <v>6.9579288025889974E-2</v>
      </c>
      <c r="I46" s="24">
        <v>0</v>
      </c>
      <c r="J46" s="34">
        <v>0</v>
      </c>
    </row>
    <row r="47" spans="1:10" x14ac:dyDescent="0.3">
      <c r="A47" s="35" t="s">
        <v>61</v>
      </c>
      <c r="B47" s="8">
        <v>3351.2</v>
      </c>
      <c r="C47" s="16">
        <v>11.1</v>
      </c>
      <c r="D47" s="10">
        <v>2.3666666666666667</v>
      </c>
      <c r="E47" s="11">
        <v>2.5333333333333332</v>
      </c>
      <c r="F47" s="16">
        <v>-0.32</v>
      </c>
      <c r="G47" s="17">
        <v>36.6</v>
      </c>
      <c r="H47" s="18">
        <v>6.8686661889650932E-2</v>
      </c>
      <c r="I47" s="24">
        <v>0</v>
      </c>
      <c r="J47" s="34">
        <v>0</v>
      </c>
    </row>
    <row r="48" spans="1:10" x14ac:dyDescent="0.3">
      <c r="A48" s="35" t="s">
        <v>62</v>
      </c>
      <c r="B48" s="8">
        <v>3112.1</v>
      </c>
      <c r="C48" s="16">
        <v>6.4</v>
      </c>
      <c r="D48" s="10">
        <v>-0.6</v>
      </c>
      <c r="E48" s="11">
        <v>2.6666666666666665</v>
      </c>
      <c r="F48" s="16">
        <v>-0.31</v>
      </c>
      <c r="G48" s="17">
        <v>29.4</v>
      </c>
      <c r="H48" s="18">
        <v>6.8926437255306006E-2</v>
      </c>
      <c r="I48" s="24">
        <v>0</v>
      </c>
      <c r="J48" s="34">
        <v>0</v>
      </c>
    </row>
    <row r="49" spans="1:10" x14ac:dyDescent="0.3">
      <c r="A49" s="35" t="s">
        <v>63</v>
      </c>
      <c r="B49" s="8">
        <v>3158.2</v>
      </c>
      <c r="C49" s="16">
        <v>7.9</v>
      </c>
      <c r="D49" s="10">
        <v>-2.0333333333333332</v>
      </c>
      <c r="E49" s="11">
        <v>2.9333333333333336</v>
      </c>
      <c r="F49" s="16">
        <v>-0.32</v>
      </c>
      <c r="G49" s="17">
        <v>29.4</v>
      </c>
      <c r="H49" s="18">
        <v>6.3592182814600356E-2</v>
      </c>
      <c r="I49" s="24">
        <v>0</v>
      </c>
      <c r="J49" s="34">
        <v>0</v>
      </c>
    </row>
    <row r="50" spans="1:10" x14ac:dyDescent="0.3">
      <c r="A50" s="35" t="s">
        <v>64</v>
      </c>
      <c r="B50" s="8">
        <v>3298.5</v>
      </c>
      <c r="C50" s="16">
        <v>12.7</v>
      </c>
      <c r="D50" s="10">
        <v>-1.9333333333333333</v>
      </c>
      <c r="E50" s="11">
        <v>2.9666666666666668</v>
      </c>
      <c r="F50" s="16">
        <v>-0.4</v>
      </c>
      <c r="G50" s="17">
        <v>29.4</v>
      </c>
      <c r="H50" s="18">
        <v>6.0305109040647072E-2</v>
      </c>
      <c r="I50" s="24">
        <v>0</v>
      </c>
      <c r="J50" s="34">
        <v>0</v>
      </c>
    </row>
    <row r="51" spans="1:10" x14ac:dyDescent="0.3">
      <c r="A51" s="35" t="s">
        <v>65</v>
      </c>
      <c r="B51" s="8">
        <v>3385.3</v>
      </c>
      <c r="C51" s="16">
        <v>8.8000000000000007</v>
      </c>
      <c r="D51" s="10">
        <v>-2.2000000000000002</v>
      </c>
      <c r="E51" s="11">
        <v>2.7999999999999994</v>
      </c>
      <c r="F51" s="16">
        <v>-0.4</v>
      </c>
      <c r="G51" s="17">
        <v>29.4</v>
      </c>
      <c r="H51" s="18">
        <v>5.962924819773429E-2</v>
      </c>
      <c r="I51" s="24">
        <v>0</v>
      </c>
      <c r="J51" s="34">
        <v>1</v>
      </c>
    </row>
    <row r="52" spans="1:10" x14ac:dyDescent="0.3">
      <c r="A52" s="35" t="s">
        <v>66</v>
      </c>
      <c r="B52" s="8">
        <v>3266.4</v>
      </c>
      <c r="C52" s="16">
        <v>8.8000000000000007</v>
      </c>
      <c r="D52" s="10">
        <v>-0.69999999999999984</v>
      </c>
      <c r="E52" s="11">
        <v>2.6</v>
      </c>
      <c r="F52" s="16">
        <v>-0.41</v>
      </c>
      <c r="G52" s="17">
        <v>29.2</v>
      </c>
      <c r="H52" s="18">
        <v>7.6142652182824344E-2</v>
      </c>
      <c r="I52" s="24">
        <v>23.386254879999999</v>
      </c>
      <c r="J52" s="34">
        <v>1</v>
      </c>
    </row>
    <row r="53" spans="1:10" x14ac:dyDescent="0.3">
      <c r="A53" s="35" t="s">
        <v>67</v>
      </c>
      <c r="B53" s="8">
        <v>2842.5</v>
      </c>
      <c r="C53" s="16">
        <v>1.5</v>
      </c>
      <c r="D53" s="10">
        <v>-17.066666666666666</v>
      </c>
      <c r="E53" s="11">
        <v>1.8666666666666665</v>
      </c>
      <c r="F53" s="16">
        <v>-0.3</v>
      </c>
      <c r="G53" s="17">
        <v>29.2</v>
      </c>
      <c r="H53" s="18">
        <v>8.5588355883558828E-2</v>
      </c>
      <c r="I53" s="24">
        <v>72.150476600000005</v>
      </c>
      <c r="J53" s="34">
        <v>1</v>
      </c>
    </row>
    <row r="54" spans="1:10" x14ac:dyDescent="0.3">
      <c r="A54" s="35" t="s">
        <v>68</v>
      </c>
      <c r="B54" s="8">
        <v>3452.8</v>
      </c>
      <c r="C54" s="16">
        <v>1.7</v>
      </c>
      <c r="D54" s="10">
        <v>-4.0666666666666664</v>
      </c>
      <c r="E54" s="11">
        <v>1</v>
      </c>
      <c r="F54" s="16">
        <v>-0.47</v>
      </c>
      <c r="G54" s="17">
        <v>29.2</v>
      </c>
      <c r="H54" s="18">
        <v>8.3555738041469929E-2</v>
      </c>
      <c r="I54" s="24">
        <v>54.148122800000003</v>
      </c>
      <c r="J54" s="34">
        <v>0</v>
      </c>
    </row>
    <row r="55" spans="1:10" x14ac:dyDescent="0.3">
      <c r="A55" s="35" t="s">
        <v>69</v>
      </c>
      <c r="B55" s="8">
        <v>3742.7</v>
      </c>
      <c r="C55" s="16">
        <v>2.2000000000000002</v>
      </c>
      <c r="D55" s="10">
        <v>-3.8666666666666667</v>
      </c>
      <c r="E55" s="11">
        <v>0.3</v>
      </c>
      <c r="F55" s="16">
        <v>-0.52</v>
      </c>
      <c r="G55" s="17">
        <v>29.2</v>
      </c>
      <c r="H55" s="18">
        <v>7.8659868900218491E-2</v>
      </c>
      <c r="I55" s="24">
        <v>66.706931119999993</v>
      </c>
      <c r="J55" s="34">
        <v>0</v>
      </c>
    </row>
    <row r="56" spans="1:10" x14ac:dyDescent="0.3">
      <c r="A56" s="35" t="s">
        <v>70</v>
      </c>
      <c r="B56" s="8">
        <v>3526.2</v>
      </c>
      <c r="C56" s="16">
        <v>2.9</v>
      </c>
      <c r="D56" s="10">
        <v>-6.1333333333333329</v>
      </c>
      <c r="E56" s="11">
        <v>-0.26666666666666666</v>
      </c>
      <c r="F56" s="16">
        <v>-0.54</v>
      </c>
      <c r="G56" s="17">
        <v>25.8</v>
      </c>
      <c r="H56" s="18">
        <v>8.0504364694471392E-2</v>
      </c>
      <c r="I56" s="24">
        <v>74.106267930000001</v>
      </c>
      <c r="J56" s="34">
        <v>0</v>
      </c>
    </row>
    <row r="57" spans="1:10" x14ac:dyDescent="0.3">
      <c r="A57" s="35" t="s">
        <v>71</v>
      </c>
      <c r="B57" s="8">
        <v>3776</v>
      </c>
      <c r="C57" s="16">
        <v>12.1</v>
      </c>
      <c r="D57" s="10">
        <v>1.6333333333333331</v>
      </c>
      <c r="E57" s="11">
        <v>0</v>
      </c>
      <c r="F57" s="16">
        <v>-0.54</v>
      </c>
      <c r="G57" s="17">
        <v>25.8</v>
      </c>
      <c r="H57" s="18">
        <v>7.8494278686771474E-2</v>
      </c>
      <c r="I57" s="24">
        <v>67.044883850000005</v>
      </c>
      <c r="J57" s="34">
        <v>0</v>
      </c>
    </row>
    <row r="58" spans="1:10" x14ac:dyDescent="0.3">
      <c r="A58" s="35" t="s">
        <v>72</v>
      </c>
      <c r="B58" s="8">
        <v>4388.7</v>
      </c>
      <c r="C58" s="16">
        <v>12.4</v>
      </c>
      <c r="D58" s="10">
        <v>1.8333333333333333</v>
      </c>
      <c r="E58" s="11">
        <v>0.93333333333333324</v>
      </c>
      <c r="F58" s="16">
        <v>-0.55000000000000004</v>
      </c>
      <c r="G58" s="17">
        <v>25.8</v>
      </c>
      <c r="H58" s="18">
        <v>7.1867061812023722E-2</v>
      </c>
      <c r="I58" s="24">
        <v>48.842639079999998</v>
      </c>
      <c r="J58" s="34">
        <v>0</v>
      </c>
    </row>
    <row r="59" spans="1:10" x14ac:dyDescent="0.3">
      <c r="A59" s="35" t="s">
        <v>73</v>
      </c>
      <c r="B59" s="8">
        <v>4761.5</v>
      </c>
      <c r="C59" s="16">
        <v>16.100000000000001</v>
      </c>
      <c r="D59" s="10">
        <v>-0.73333333333333339</v>
      </c>
      <c r="E59" s="11">
        <v>2.5333333333333337</v>
      </c>
      <c r="F59" s="16">
        <v>-0.56999999999999995</v>
      </c>
      <c r="G59" s="17">
        <v>25.8</v>
      </c>
      <c r="H59" s="18">
        <v>7.1451595573224447E-2</v>
      </c>
      <c r="I59" s="24">
        <v>43.05785556</v>
      </c>
      <c r="J59" s="34">
        <v>1</v>
      </c>
    </row>
    <row r="60" spans="1:10" x14ac:dyDescent="0.3">
      <c r="A60" s="35" t="s">
        <v>74</v>
      </c>
      <c r="B60" s="8">
        <v>4886.7</v>
      </c>
      <c r="C60" s="16">
        <v>17.399999999999999</v>
      </c>
      <c r="D60" s="10">
        <v>-1.2666666666666666</v>
      </c>
      <c r="E60" s="11">
        <v>4.7</v>
      </c>
      <c r="F60" s="16">
        <v>-0.53</v>
      </c>
      <c r="G60" s="17">
        <v>27.1</v>
      </c>
      <c r="H60" s="18">
        <v>7.254881041288809E-2</v>
      </c>
      <c r="I60" s="24">
        <v>40.564510310000003</v>
      </c>
      <c r="J60" s="34">
        <v>1</v>
      </c>
    </row>
    <row r="61" spans="1:10" x14ac:dyDescent="0.3">
      <c r="A61" s="35" t="s">
        <v>75</v>
      </c>
      <c r="B61" s="8">
        <v>5191.8</v>
      </c>
      <c r="C61" s="16">
        <v>16.3</v>
      </c>
      <c r="D61" s="10">
        <v>-3.5</v>
      </c>
      <c r="E61" s="11">
        <v>7.7666666666666657</v>
      </c>
      <c r="F61" s="16">
        <v>-0.36</v>
      </c>
      <c r="G61" s="17">
        <v>27.1</v>
      </c>
      <c r="H61" s="18">
        <v>6.6244725738396626E-2</v>
      </c>
      <c r="I61" s="24">
        <v>22.351230640000001</v>
      </c>
      <c r="J61" s="34">
        <v>1</v>
      </c>
    </row>
    <row r="62" spans="1:10" x14ac:dyDescent="0.3">
      <c r="A62" s="35" t="s">
        <v>76</v>
      </c>
      <c r="B62" s="8">
        <v>5692.3</v>
      </c>
      <c r="C62" s="16">
        <v>13.6</v>
      </c>
      <c r="D62" s="10">
        <v>-5.3</v>
      </c>
      <c r="E62" s="11">
        <v>12.199999999999998</v>
      </c>
      <c r="F62" s="16">
        <v>0.48</v>
      </c>
      <c r="G62" s="17">
        <v>27.1</v>
      </c>
      <c r="H62" s="18">
        <v>6.8744176415778041E-2</v>
      </c>
      <c r="I62" s="24">
        <v>16.2093709</v>
      </c>
      <c r="J62" s="34">
        <v>1</v>
      </c>
    </row>
    <row r="63" spans="1:10" x14ac:dyDescent="0.3">
      <c r="A63" s="35" t="s">
        <v>77</v>
      </c>
      <c r="B63" s="8">
        <v>5563.7</v>
      </c>
      <c r="C63" s="16">
        <v>8.6</v>
      </c>
      <c r="D63" s="10">
        <v>-8.8666666666666671</v>
      </c>
      <c r="E63" s="11">
        <v>16.133333333333333</v>
      </c>
      <c r="F63" s="16">
        <v>1.77</v>
      </c>
      <c r="G63" s="17">
        <v>27.1</v>
      </c>
      <c r="H63" s="18">
        <v>6.6554868462425323E-2</v>
      </c>
      <c r="I63" s="24">
        <v>15.284275729999999</v>
      </c>
      <c r="J63" s="34">
        <v>0</v>
      </c>
    </row>
    <row r="64" spans="1:10" x14ac:dyDescent="0.3">
      <c r="A64" s="23" t="s">
        <v>79</v>
      </c>
      <c r="B64" s="8">
        <v>5122.5</v>
      </c>
      <c r="C64" s="11">
        <v>5.9</v>
      </c>
      <c r="D64" s="10">
        <v>-7.666666666666667</v>
      </c>
      <c r="E64" s="11">
        <v>19.133333333333336</v>
      </c>
      <c r="F64" s="24">
        <v>2.6359538461538468</v>
      </c>
      <c r="G64" s="23">
        <v>28.4</v>
      </c>
      <c r="H64" s="13">
        <v>6.3603488619442664E-2</v>
      </c>
      <c r="I64" s="24">
        <v>13.373741259999999</v>
      </c>
      <c r="J64" s="34">
        <v>0</v>
      </c>
    </row>
    <row r="65" spans="1:10" x14ac:dyDescent="0.3">
      <c r="A65" s="23" t="s">
        <v>80</v>
      </c>
      <c r="B65" s="8">
        <v>4625.1000000000004</v>
      </c>
      <c r="C65" s="11">
        <v>5.4</v>
      </c>
      <c r="D65" s="10">
        <v>-8.0333333333333332</v>
      </c>
      <c r="E65" s="11">
        <v>19.166666666666668</v>
      </c>
      <c r="F65" s="24">
        <v>3.3741451612903233</v>
      </c>
      <c r="G65" s="23">
        <v>28.4</v>
      </c>
      <c r="H65" s="13">
        <v>6.3910567390845816E-2</v>
      </c>
      <c r="I65" s="24">
        <v>11.463206789999999</v>
      </c>
      <c r="J65" s="34">
        <v>1</v>
      </c>
    </row>
    <row r="66" spans="1:10" x14ac:dyDescent="0.3">
      <c r="A66" s="23" t="s">
        <v>81</v>
      </c>
      <c r="B66" s="8">
        <v>4414.8999999999996</v>
      </c>
      <c r="C66" s="11">
        <v>3</v>
      </c>
      <c r="D66" s="10">
        <v>-7.5</v>
      </c>
      <c r="E66" s="11">
        <v>15.533333333333333</v>
      </c>
      <c r="F66" s="24">
        <v>3.7774769230769234</v>
      </c>
      <c r="G66" s="23">
        <v>28.4</v>
      </c>
      <c r="H66" s="13">
        <v>6.4573708525829485E-2</v>
      </c>
      <c r="I66" s="24">
        <v>9.5526723199999992</v>
      </c>
      <c r="J66" s="34">
        <v>1</v>
      </c>
    </row>
    <row r="67" spans="1:10" x14ac:dyDescent="0.3">
      <c r="A67" s="23" t="s">
        <v>82</v>
      </c>
      <c r="B67" s="8">
        <v>4833.7</v>
      </c>
      <c r="C67" s="11">
        <v>0.8</v>
      </c>
      <c r="D67" s="10">
        <v>-8.8666666666666671</v>
      </c>
      <c r="E67" s="11">
        <v>10.733333333333334</v>
      </c>
      <c r="F67" s="24">
        <v>3.9591587301587294</v>
      </c>
      <c r="G67" s="23">
        <v>28.4</v>
      </c>
      <c r="H67" s="13">
        <v>6.8160101921647731E-2</v>
      </c>
      <c r="I67" s="24">
        <v>7.6421378499999992</v>
      </c>
      <c r="J67" s="34">
        <v>1</v>
      </c>
    </row>
    <row r="68" spans="1:10" x14ac:dyDescent="0.3">
      <c r="A68" s="23" t="s">
        <v>83</v>
      </c>
      <c r="B68" s="8">
        <v>4810.5</v>
      </c>
      <c r="C68" s="11">
        <v>3.6</v>
      </c>
      <c r="D68" s="10">
        <v>-6.5333333333333341</v>
      </c>
      <c r="E68" s="11">
        <v>6.0333333333333341</v>
      </c>
      <c r="F68" s="24">
        <v>3.9238888888888885</v>
      </c>
      <c r="G68" s="23">
        <v>26.7</v>
      </c>
      <c r="H68" s="13">
        <v>7.2422517394054392E-2</v>
      </c>
      <c r="I68" s="24">
        <f>I67-I66+I67</f>
        <v>5.7316033799999992</v>
      </c>
      <c r="J68" s="34">
        <v>0</v>
      </c>
    </row>
    <row r="69" spans="1:10" x14ac:dyDescent="0.3">
      <c r="A69" s="23" t="s">
        <v>84</v>
      </c>
      <c r="B69" s="8">
        <v>4541.3999999999996</v>
      </c>
      <c r="C69" s="11">
        <v>0.7</v>
      </c>
      <c r="D69" s="10">
        <v>-6.6333333333333329</v>
      </c>
      <c r="E69" s="11">
        <v>2.7666666666666671</v>
      </c>
      <c r="F69" s="24">
        <v>3.8089047619047616</v>
      </c>
      <c r="G69" s="23">
        <v>26.7</v>
      </c>
      <c r="H69" s="13">
        <v>6.9394642480489335E-2</v>
      </c>
      <c r="I69" s="24">
        <f>I68-I67+I68</f>
        <v>3.8210689099999993</v>
      </c>
      <c r="J69" s="34">
        <v>0</v>
      </c>
    </row>
    <row r="70" spans="1:10" x14ac:dyDescent="0.3">
      <c r="A70" s="23" t="s">
        <v>85</v>
      </c>
      <c r="B70" s="8">
        <v>4600.8</v>
      </c>
      <c r="C70" s="11">
        <v>5.3</v>
      </c>
      <c r="D70" s="10">
        <v>-7.9666666666666677</v>
      </c>
      <c r="E70" s="11">
        <v>1.3</v>
      </c>
      <c r="F70" s="24">
        <v>3.5591818181818184</v>
      </c>
      <c r="G70" s="23">
        <v>26.7</v>
      </c>
      <c r="H70" s="13">
        <v>6.6800975506308979E-2</v>
      </c>
      <c r="I70" s="24">
        <f>I69-I68+I69</f>
        <v>1.9105344399999993</v>
      </c>
      <c r="J70" s="34">
        <v>0</v>
      </c>
    </row>
    <row r="71" spans="1:10" x14ac:dyDescent="0.3">
      <c r="A71" s="23" t="s">
        <v>86</v>
      </c>
      <c r="B71" s="8">
        <v>4887</v>
      </c>
      <c r="C71" s="11">
        <v>7.3</v>
      </c>
      <c r="D71" s="10">
        <v>-5.666666666666667</v>
      </c>
      <c r="E71" s="11">
        <v>1.1333333333333335</v>
      </c>
      <c r="F71" s="24">
        <v>3.007281250000001</v>
      </c>
      <c r="G71" s="23">
        <v>26.7</v>
      </c>
      <c r="H71" s="13">
        <v>6.8528464017185819E-2</v>
      </c>
      <c r="I71" s="24">
        <v>0</v>
      </c>
      <c r="J71" s="34">
        <v>0</v>
      </c>
    </row>
    <row r="72" spans="1:10" x14ac:dyDescent="0.3">
      <c r="A72" s="23" t="s">
        <v>87</v>
      </c>
      <c r="B72" s="8">
        <v>5060.8999999999996</v>
      </c>
      <c r="C72" s="11">
        <v>5.4</v>
      </c>
      <c r="D72" s="10">
        <v>-6.166666666666667</v>
      </c>
      <c r="E72" s="11">
        <v>1.7666666666666666</v>
      </c>
      <c r="F72" s="24">
        <v>2.5600634920634913</v>
      </c>
      <c r="G72" s="23">
        <v>25.3</v>
      </c>
      <c r="H72" s="13">
        <v>7.4133333333333329E-2</v>
      </c>
      <c r="I72" s="24">
        <v>0</v>
      </c>
      <c r="J72" s="34">
        <v>0</v>
      </c>
    </row>
    <row r="73" spans="1:10" x14ac:dyDescent="0.3">
      <c r="A73" s="23" t="s">
        <v>88</v>
      </c>
      <c r="B73" s="8">
        <v>4756.2</v>
      </c>
      <c r="C73" s="11">
        <v>6.5</v>
      </c>
      <c r="D73" s="10">
        <v>-4.166666666666667</v>
      </c>
      <c r="E73" s="11">
        <v>2.4666666666666668</v>
      </c>
      <c r="F73" s="24">
        <v>2.1044516129032265</v>
      </c>
      <c r="G73" s="23">
        <v>25.3</v>
      </c>
      <c r="H73" s="13">
        <v>6.6841552990556136E-2</v>
      </c>
      <c r="I73" s="24">
        <v>0</v>
      </c>
      <c r="J73" s="34">
        <v>0</v>
      </c>
    </row>
    <row r="74" spans="1:10" x14ac:dyDescent="0.3">
      <c r="A74" s="23" t="s">
        <v>89</v>
      </c>
      <c r="B74" s="8">
        <v>4881.8</v>
      </c>
      <c r="C74" s="11">
        <v>7.9</v>
      </c>
      <c r="D74" s="10">
        <v>-3.9333333333333331</v>
      </c>
      <c r="E74" s="11">
        <v>3.2666666666666671</v>
      </c>
      <c r="F74" s="24">
        <v>2.0110454545454548</v>
      </c>
      <c r="G74" s="23">
        <v>25.3</v>
      </c>
      <c r="H74" s="13">
        <v>6.908066367525828E-2</v>
      </c>
      <c r="I74" s="24">
        <v>0</v>
      </c>
      <c r="J74" s="34">
        <v>0</v>
      </c>
    </row>
    <row r="75" spans="1:10" x14ac:dyDescent="0.3">
      <c r="A75" s="23" t="s">
        <v>90</v>
      </c>
      <c r="B75" s="8">
        <v>5085.6000000000004</v>
      </c>
      <c r="C75" s="11">
        <v>11</v>
      </c>
      <c r="D75" s="10">
        <v>-3.8000000000000003</v>
      </c>
      <c r="E75" s="11">
        <v>3.7666666666666671</v>
      </c>
      <c r="F75" s="24">
        <v>2.0410468750000001</v>
      </c>
      <c r="G75" s="23">
        <v>25.3</v>
      </c>
      <c r="H75" s="13">
        <v>6.7399112613564335E-2</v>
      </c>
      <c r="I75" s="24">
        <v>0</v>
      </c>
      <c r="J75" s="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77AF-65BA-4805-91A4-78A1B9492EB5}">
  <dimension ref="A1:AC83"/>
  <sheetViews>
    <sheetView workbookViewId="0">
      <selection activeCell="AC16" sqref="AC16"/>
    </sheetView>
  </sheetViews>
  <sheetFormatPr defaultRowHeight="14.4" x14ac:dyDescent="0.3"/>
  <sheetData>
    <row r="1" spans="1:29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110</v>
      </c>
      <c r="F1" s="2" t="s">
        <v>104</v>
      </c>
      <c r="G1" s="3" t="s">
        <v>4</v>
      </c>
      <c r="H1" s="25" t="s">
        <v>5</v>
      </c>
      <c r="I1" s="2" t="s">
        <v>103</v>
      </c>
      <c r="J1" s="2" t="s">
        <v>6</v>
      </c>
      <c r="K1" s="29" t="s">
        <v>7</v>
      </c>
      <c r="L1" s="26" t="s">
        <v>91</v>
      </c>
      <c r="M1" s="2" t="s">
        <v>92</v>
      </c>
      <c r="N1" s="2" t="s">
        <v>93</v>
      </c>
      <c r="O1" s="2" t="s">
        <v>105</v>
      </c>
      <c r="P1" s="3" t="s">
        <v>94</v>
      </c>
      <c r="Q1" s="2" t="s">
        <v>95</v>
      </c>
      <c r="R1" s="2" t="s">
        <v>107</v>
      </c>
      <c r="S1" s="2" t="s">
        <v>96</v>
      </c>
      <c r="T1" s="29" t="s">
        <v>108</v>
      </c>
      <c r="U1" s="26" t="s">
        <v>97</v>
      </c>
      <c r="V1" s="2" t="s">
        <v>98</v>
      </c>
      <c r="W1" s="2" t="s">
        <v>78</v>
      </c>
      <c r="X1" s="2" t="s">
        <v>106</v>
      </c>
      <c r="Y1" s="3" t="s">
        <v>99</v>
      </c>
      <c r="Z1" s="2" t="s">
        <v>100</v>
      </c>
      <c r="AA1" s="2" t="s">
        <v>102</v>
      </c>
      <c r="AB1" s="2" t="s">
        <v>101</v>
      </c>
      <c r="AC1" s="29" t="s">
        <v>109</v>
      </c>
    </row>
    <row r="2" spans="1:29" x14ac:dyDescent="0.3">
      <c r="A2" s="1" t="s">
        <v>8</v>
      </c>
      <c r="B2" s="19">
        <v>1046.9000000000001</v>
      </c>
      <c r="C2" s="20">
        <v>7.4333333333333327</v>
      </c>
      <c r="D2" s="21">
        <v>6.8666666666666671</v>
      </c>
      <c r="E2" s="5">
        <f>F2-2.86</f>
        <v>-0.10000000000000009</v>
      </c>
      <c r="F2" s="5">
        <v>2.76</v>
      </c>
      <c r="G2" s="4">
        <v>71.900000000000006</v>
      </c>
      <c r="H2" s="6">
        <v>9.4694178334561538</v>
      </c>
      <c r="I2">
        <v>0</v>
      </c>
      <c r="J2" s="22">
        <v>5927</v>
      </c>
      <c r="K2" s="31">
        <v>0</v>
      </c>
      <c r="L2" s="27">
        <v>1031.7</v>
      </c>
      <c r="M2" s="20">
        <v>4.8999999999999995</v>
      </c>
      <c r="N2" s="21">
        <v>6.9666666666666659</v>
      </c>
      <c r="O2" s="5">
        <v>2.86</v>
      </c>
      <c r="P2" s="4">
        <v>71.900000000000006</v>
      </c>
      <c r="Q2" s="6">
        <v>10.431090187390382</v>
      </c>
      <c r="R2">
        <v>0</v>
      </c>
      <c r="S2" s="22">
        <v>5685.9</v>
      </c>
      <c r="T2" s="30">
        <v>0</v>
      </c>
      <c r="U2" s="27">
        <v>894.4</v>
      </c>
      <c r="V2" s="20">
        <v>3.2333333333333329</v>
      </c>
      <c r="W2" s="21">
        <v>6.6000000000000005</v>
      </c>
      <c r="X2" s="5">
        <v>3.73</v>
      </c>
      <c r="Y2" s="4">
        <v>71.900000000000006</v>
      </c>
      <c r="Z2" s="6">
        <v>11.559341070760015</v>
      </c>
      <c r="AA2">
        <v>0</v>
      </c>
      <c r="AB2" s="22">
        <v>5501.3</v>
      </c>
      <c r="AC2" s="30">
        <v>0</v>
      </c>
    </row>
    <row r="3" spans="1:29" x14ac:dyDescent="0.3">
      <c r="A3" s="1" t="s">
        <v>9</v>
      </c>
      <c r="B3" s="19">
        <v>1136.5999999999999</v>
      </c>
      <c r="C3" s="20">
        <v>8.7666666666666657</v>
      </c>
      <c r="D3" s="21">
        <v>6.9000000000000012</v>
      </c>
      <c r="E3" s="5">
        <f>F3-F2</f>
        <v>0.17000000000000037</v>
      </c>
      <c r="F3" s="5">
        <v>2.93</v>
      </c>
      <c r="G3" s="4">
        <v>71.900000000000006</v>
      </c>
      <c r="H3" s="6">
        <v>8.6932498388433554</v>
      </c>
      <c r="I3">
        <v>0</v>
      </c>
      <c r="J3" s="22">
        <v>6141.7</v>
      </c>
      <c r="K3" s="31">
        <v>0</v>
      </c>
      <c r="L3" s="27">
        <v>1046.9000000000001</v>
      </c>
      <c r="M3" s="20">
        <v>7.4333333333333327</v>
      </c>
      <c r="N3" s="21">
        <v>6.8666666666666671</v>
      </c>
      <c r="O3" s="5">
        <v>2.76</v>
      </c>
      <c r="P3" s="4">
        <v>71.900000000000006</v>
      </c>
      <c r="Q3" s="6">
        <v>9.4694178334561538</v>
      </c>
      <c r="R3">
        <v>0</v>
      </c>
      <c r="S3" s="22">
        <v>5927</v>
      </c>
      <c r="T3" s="31">
        <v>0</v>
      </c>
      <c r="U3" s="27">
        <v>1031.7</v>
      </c>
      <c r="V3" s="20">
        <v>4.8999999999999995</v>
      </c>
      <c r="W3" s="21">
        <v>6.9666666666666659</v>
      </c>
      <c r="X3" s="5">
        <v>2.86</v>
      </c>
      <c r="Y3" s="4">
        <v>71.900000000000006</v>
      </c>
      <c r="Z3" s="6">
        <v>10.431090187390382</v>
      </c>
      <c r="AA3">
        <v>0</v>
      </c>
      <c r="AB3" s="22">
        <v>5685.9</v>
      </c>
      <c r="AC3" s="30">
        <v>0</v>
      </c>
    </row>
    <row r="4" spans="1:29" x14ac:dyDescent="0.3">
      <c r="A4" s="1" t="s">
        <v>10</v>
      </c>
      <c r="B4" s="19">
        <v>1038.8</v>
      </c>
      <c r="C4" s="20">
        <v>4.9000000000000004</v>
      </c>
      <c r="D4" s="21">
        <v>7</v>
      </c>
      <c r="E4" s="5">
        <f t="shared" ref="E4:E67" si="0">F4-F3</f>
        <v>1.0799999999999996</v>
      </c>
      <c r="F4" s="5">
        <v>4.01</v>
      </c>
      <c r="G4" s="4">
        <v>64.3</v>
      </c>
      <c r="H4" s="6">
        <v>8.5588478121273273</v>
      </c>
      <c r="I4">
        <v>0</v>
      </c>
      <c r="J4" s="22">
        <v>6196.4</v>
      </c>
      <c r="K4" s="31">
        <v>0</v>
      </c>
      <c r="L4" s="27">
        <v>1136.5999999999999</v>
      </c>
      <c r="M4" s="20">
        <v>8.7666666666666657</v>
      </c>
      <c r="N4" s="21">
        <v>6.9000000000000012</v>
      </c>
      <c r="O4" s="5">
        <v>2.93</v>
      </c>
      <c r="P4" s="4">
        <v>71.900000000000006</v>
      </c>
      <c r="Q4" s="6">
        <v>8.6932498388433554</v>
      </c>
      <c r="R4">
        <v>0</v>
      </c>
      <c r="S4" s="22">
        <v>6141.7</v>
      </c>
      <c r="T4" s="31">
        <v>0</v>
      </c>
      <c r="U4" s="27">
        <v>1046.9000000000001</v>
      </c>
      <c r="V4" s="20">
        <v>7.4333333333333327</v>
      </c>
      <c r="W4" s="21">
        <v>6.8666666666666671</v>
      </c>
      <c r="X4" s="5">
        <v>2.76</v>
      </c>
      <c r="Y4" s="4">
        <v>71.900000000000006</v>
      </c>
      <c r="Z4" s="6">
        <v>9.4694178334561538</v>
      </c>
      <c r="AA4">
        <v>0</v>
      </c>
      <c r="AB4" s="22">
        <v>5927</v>
      </c>
      <c r="AC4" s="31">
        <v>0</v>
      </c>
    </row>
    <row r="5" spans="1:29" x14ac:dyDescent="0.3">
      <c r="A5" s="1" t="s">
        <v>11</v>
      </c>
      <c r="B5" s="19">
        <v>1179.4000000000001</v>
      </c>
      <c r="C5" s="20">
        <v>4.5666666666666664</v>
      </c>
      <c r="D5" s="21">
        <v>6.9000000000000012</v>
      </c>
      <c r="E5" s="5">
        <f t="shared" si="0"/>
        <v>0.16000000000000014</v>
      </c>
      <c r="F5" s="5">
        <v>4.17</v>
      </c>
      <c r="G5" s="4">
        <v>64.3</v>
      </c>
      <c r="H5" s="6">
        <v>7.2231285118723942</v>
      </c>
      <c r="I5">
        <v>0</v>
      </c>
      <c r="J5" s="22">
        <v>6434.3</v>
      </c>
      <c r="K5" s="31">
        <v>0</v>
      </c>
      <c r="L5" s="27">
        <v>1038.8</v>
      </c>
      <c r="M5" s="20">
        <v>4.9000000000000004</v>
      </c>
      <c r="N5" s="21">
        <v>7</v>
      </c>
      <c r="O5" s="5">
        <v>4.01</v>
      </c>
      <c r="P5" s="4">
        <v>64.3</v>
      </c>
      <c r="Q5" s="6">
        <v>8.5588478121273273</v>
      </c>
      <c r="R5">
        <v>0</v>
      </c>
      <c r="S5" s="22">
        <v>6196.4</v>
      </c>
      <c r="T5" s="31">
        <v>0</v>
      </c>
      <c r="U5" s="27">
        <v>1136.5999999999999</v>
      </c>
      <c r="V5" s="20">
        <v>8.7666666666666657</v>
      </c>
      <c r="W5" s="21">
        <v>6.9000000000000012</v>
      </c>
      <c r="X5" s="5">
        <v>2.93</v>
      </c>
      <c r="Y5" s="4">
        <v>71.900000000000006</v>
      </c>
      <c r="Z5" s="6">
        <v>8.6932498388433554</v>
      </c>
      <c r="AA5">
        <v>0</v>
      </c>
      <c r="AB5" s="22">
        <v>6141.7</v>
      </c>
      <c r="AC5" s="31">
        <v>0</v>
      </c>
    </row>
    <row r="6" spans="1:29" x14ac:dyDescent="0.3">
      <c r="A6" s="1" t="s">
        <v>12</v>
      </c>
      <c r="B6" s="19">
        <v>1203.2</v>
      </c>
      <c r="C6" s="20">
        <v>8.2666666666666675</v>
      </c>
      <c r="D6" s="21">
        <v>6.9666666666666659</v>
      </c>
      <c r="E6" s="5">
        <f t="shared" si="0"/>
        <v>0.61000000000000032</v>
      </c>
      <c r="F6" s="5">
        <v>4.78</v>
      </c>
      <c r="G6" s="4">
        <v>64.3</v>
      </c>
      <c r="H6" s="6">
        <v>6.0132450331125824</v>
      </c>
      <c r="I6">
        <v>0</v>
      </c>
      <c r="J6" s="22">
        <v>6649.1</v>
      </c>
      <c r="K6" s="31">
        <v>0</v>
      </c>
      <c r="L6" s="27">
        <v>1179.4000000000001</v>
      </c>
      <c r="M6" s="20">
        <v>4.5666666666666664</v>
      </c>
      <c r="N6" s="21">
        <v>6.9000000000000012</v>
      </c>
      <c r="O6" s="5">
        <v>4.17</v>
      </c>
      <c r="P6" s="4">
        <v>64.3</v>
      </c>
      <c r="Q6" s="6">
        <v>7.2231285118723942</v>
      </c>
      <c r="R6">
        <v>0</v>
      </c>
      <c r="S6" s="22">
        <v>6434.3</v>
      </c>
      <c r="T6" s="31">
        <v>0</v>
      </c>
      <c r="U6" s="27">
        <v>1038.8</v>
      </c>
      <c r="V6" s="20">
        <v>4.9000000000000004</v>
      </c>
      <c r="W6" s="21">
        <v>7</v>
      </c>
      <c r="X6" s="5">
        <v>4.01</v>
      </c>
      <c r="Y6" s="4">
        <v>64.3</v>
      </c>
      <c r="Z6" s="6">
        <v>8.5588478121273273</v>
      </c>
      <c r="AA6">
        <v>0</v>
      </c>
      <c r="AB6" s="22">
        <v>6196.4</v>
      </c>
      <c r="AC6" s="31">
        <v>0</v>
      </c>
    </row>
    <row r="7" spans="1:29" x14ac:dyDescent="0.3">
      <c r="A7" s="1" t="s">
        <v>13</v>
      </c>
      <c r="B7" s="19">
        <v>1264.4000000000001</v>
      </c>
      <c r="C7" s="20">
        <v>9.1666666666666661</v>
      </c>
      <c r="D7" s="21">
        <v>6.6333333333333329</v>
      </c>
      <c r="E7" s="5">
        <f t="shared" si="0"/>
        <v>-0.27000000000000046</v>
      </c>
      <c r="F7" s="5">
        <v>4.51</v>
      </c>
      <c r="G7" s="4">
        <v>64.3</v>
      </c>
      <c r="H7" s="6">
        <v>6.380677721701514</v>
      </c>
      <c r="I7">
        <v>0</v>
      </c>
      <c r="J7" s="22">
        <v>6971.8</v>
      </c>
      <c r="K7" s="31">
        <v>0</v>
      </c>
      <c r="L7" s="27">
        <v>1203.2</v>
      </c>
      <c r="M7" s="20">
        <v>8.2666666666666675</v>
      </c>
      <c r="N7" s="21">
        <v>6.9666666666666659</v>
      </c>
      <c r="O7" s="5">
        <v>4.78</v>
      </c>
      <c r="P7" s="4">
        <v>64.3</v>
      </c>
      <c r="Q7" s="6">
        <v>6.0132450331125824</v>
      </c>
      <c r="R7">
        <v>0</v>
      </c>
      <c r="S7" s="22">
        <v>6649.1</v>
      </c>
      <c r="T7" s="31">
        <v>0</v>
      </c>
      <c r="U7" s="27">
        <v>1179.4000000000001</v>
      </c>
      <c r="V7" s="20">
        <v>4.5666666666666664</v>
      </c>
      <c r="W7" s="21">
        <v>6.9000000000000012</v>
      </c>
      <c r="X7" s="5">
        <v>4.17</v>
      </c>
      <c r="Y7" s="4">
        <v>64.3</v>
      </c>
      <c r="Z7" s="6">
        <v>7.2231285118723942</v>
      </c>
      <c r="AA7">
        <v>0</v>
      </c>
      <c r="AB7" s="22">
        <v>6434.3</v>
      </c>
      <c r="AC7" s="31">
        <v>0</v>
      </c>
    </row>
    <row r="8" spans="1:29" x14ac:dyDescent="0.3">
      <c r="A8" s="1" t="s">
        <v>14</v>
      </c>
      <c r="B8" s="19">
        <v>1291.5</v>
      </c>
      <c r="C8" s="20">
        <v>9.8666666666666654</v>
      </c>
      <c r="D8" s="21">
        <v>6.6000000000000005</v>
      </c>
      <c r="E8" s="5">
        <f t="shared" si="0"/>
        <v>0.70000000000000018</v>
      </c>
      <c r="F8" s="5">
        <v>5.21</v>
      </c>
      <c r="G8" s="4">
        <v>57.7</v>
      </c>
      <c r="H8" s="6">
        <v>7.0640780238811418</v>
      </c>
      <c r="I8">
        <v>0</v>
      </c>
      <c r="J8" s="22">
        <v>7122.9</v>
      </c>
      <c r="K8" s="31">
        <v>0</v>
      </c>
      <c r="L8" s="27">
        <v>1264.4000000000001</v>
      </c>
      <c r="M8" s="20">
        <v>9.1666666666666661</v>
      </c>
      <c r="N8" s="21">
        <v>6.6333333333333329</v>
      </c>
      <c r="O8" s="5">
        <v>4.51</v>
      </c>
      <c r="P8" s="4">
        <v>64.3</v>
      </c>
      <c r="Q8" s="6">
        <v>6.380677721701514</v>
      </c>
      <c r="R8">
        <v>0</v>
      </c>
      <c r="S8" s="22">
        <v>6971.8</v>
      </c>
      <c r="T8" s="31">
        <v>0</v>
      </c>
      <c r="U8" s="27">
        <v>1203.2</v>
      </c>
      <c r="V8" s="20">
        <v>8.2666666666666675</v>
      </c>
      <c r="W8" s="21">
        <v>6.9666666666666659</v>
      </c>
      <c r="X8" s="5">
        <v>4.78</v>
      </c>
      <c r="Y8" s="4">
        <v>64.3</v>
      </c>
      <c r="Z8" s="6">
        <v>6.0132450331125824</v>
      </c>
      <c r="AA8">
        <v>0</v>
      </c>
      <c r="AB8" s="22">
        <v>6649.1</v>
      </c>
      <c r="AC8" s="31">
        <v>0</v>
      </c>
    </row>
    <row r="9" spans="1:29" x14ac:dyDescent="0.3">
      <c r="A9" s="1" t="s">
        <v>15</v>
      </c>
      <c r="B9" s="19">
        <v>1444.6</v>
      </c>
      <c r="C9" s="20">
        <v>4.9000000000000004</v>
      </c>
      <c r="D9" s="21">
        <v>7.0666666666666664</v>
      </c>
      <c r="E9" s="5">
        <f t="shared" si="0"/>
        <v>3.95</v>
      </c>
      <c r="F9" s="5">
        <v>9.16</v>
      </c>
      <c r="G9" s="4">
        <v>57.7</v>
      </c>
      <c r="H9" s="6">
        <v>6.2940808856352115</v>
      </c>
      <c r="I9">
        <v>0</v>
      </c>
      <c r="J9" s="22">
        <v>7278.5</v>
      </c>
      <c r="K9" s="31">
        <v>0</v>
      </c>
      <c r="L9" s="27">
        <v>1291.5</v>
      </c>
      <c r="M9" s="20">
        <v>9.8666666666666654</v>
      </c>
      <c r="N9" s="21">
        <v>6.6000000000000005</v>
      </c>
      <c r="O9" s="5">
        <v>5.21</v>
      </c>
      <c r="P9" s="4">
        <v>57.7</v>
      </c>
      <c r="Q9" s="6">
        <v>7.0640780238811418</v>
      </c>
      <c r="R9">
        <v>0</v>
      </c>
      <c r="S9" s="22">
        <v>7122.9</v>
      </c>
      <c r="T9" s="31">
        <v>0</v>
      </c>
      <c r="U9" s="27">
        <v>1264.4000000000001</v>
      </c>
      <c r="V9" s="20">
        <v>9.1666666666666661</v>
      </c>
      <c r="W9" s="21">
        <v>6.6333333333333329</v>
      </c>
      <c r="X9" s="5">
        <v>4.51</v>
      </c>
      <c r="Y9" s="4">
        <v>64.3</v>
      </c>
      <c r="Z9" s="6">
        <v>6.380677721701514</v>
      </c>
      <c r="AA9">
        <v>0</v>
      </c>
      <c r="AB9" s="22">
        <v>6971.8</v>
      </c>
      <c r="AC9" s="31">
        <v>0</v>
      </c>
    </row>
    <row r="10" spans="1:29" x14ac:dyDescent="0.3">
      <c r="A10" s="7" t="s">
        <v>16</v>
      </c>
      <c r="B10" s="8">
        <v>1460.9</v>
      </c>
      <c r="C10" s="10">
        <v>3.9333333333333331</v>
      </c>
      <c r="D10" s="11">
        <v>7.8</v>
      </c>
      <c r="E10" s="5">
        <f t="shared" si="0"/>
        <v>-0.65000000000000036</v>
      </c>
      <c r="F10" s="12">
        <v>8.51</v>
      </c>
      <c r="G10" s="9">
        <v>57.7</v>
      </c>
      <c r="H10" s="13">
        <v>5.6438930630788047</v>
      </c>
      <c r="I10">
        <v>0</v>
      </c>
      <c r="J10" s="14">
        <v>7379.3</v>
      </c>
      <c r="K10" s="32">
        <v>0</v>
      </c>
      <c r="L10" s="28">
        <v>1444.6</v>
      </c>
      <c r="M10" s="10">
        <v>4.9000000000000004</v>
      </c>
      <c r="N10" s="11">
        <v>7.0666666666666664</v>
      </c>
      <c r="O10" s="12">
        <v>9.16</v>
      </c>
      <c r="P10" s="9">
        <v>57.7</v>
      </c>
      <c r="Q10" s="13">
        <v>6.2940808856352115</v>
      </c>
      <c r="R10">
        <v>0</v>
      </c>
      <c r="S10" s="14">
        <v>7278.5</v>
      </c>
      <c r="T10" s="31">
        <v>0</v>
      </c>
      <c r="U10" s="28">
        <v>1291.5</v>
      </c>
      <c r="V10" s="10">
        <v>9.8666666666666654</v>
      </c>
      <c r="W10" s="11">
        <v>6.6000000000000005</v>
      </c>
      <c r="X10" s="12">
        <v>5.21</v>
      </c>
      <c r="Y10" s="9">
        <v>57.7</v>
      </c>
      <c r="Z10" s="13">
        <v>7.0640780238811418</v>
      </c>
      <c r="AA10">
        <v>0</v>
      </c>
      <c r="AB10" s="14">
        <v>7122.9</v>
      </c>
      <c r="AC10" s="31">
        <v>0</v>
      </c>
    </row>
    <row r="11" spans="1:29" x14ac:dyDescent="0.3">
      <c r="A11" s="7" t="s">
        <v>17</v>
      </c>
      <c r="B11" s="8">
        <v>1551.8</v>
      </c>
      <c r="C11" s="10">
        <v>0.80000000000000016</v>
      </c>
      <c r="D11" s="11">
        <v>9.4666666666666668</v>
      </c>
      <c r="E11" s="5">
        <f t="shared" si="0"/>
        <v>3.2100000000000009</v>
      </c>
      <c r="F11" s="12">
        <v>11.72</v>
      </c>
      <c r="G11" s="9">
        <v>57.7</v>
      </c>
      <c r="H11" s="13">
        <v>5.2534643045079807</v>
      </c>
      <c r="I11">
        <v>0</v>
      </c>
      <c r="J11" s="14">
        <v>7277.5</v>
      </c>
      <c r="K11" s="32">
        <v>0</v>
      </c>
      <c r="L11" s="28">
        <v>1460.9</v>
      </c>
      <c r="M11" s="10">
        <v>3.9333333333333331</v>
      </c>
      <c r="N11" s="11">
        <v>7.8</v>
      </c>
      <c r="O11" s="12">
        <v>8.51</v>
      </c>
      <c r="P11" s="9">
        <v>57.7</v>
      </c>
      <c r="Q11" s="13">
        <v>5.6438930630788047</v>
      </c>
      <c r="R11">
        <v>0</v>
      </c>
      <c r="S11" s="14">
        <v>7379.3</v>
      </c>
      <c r="T11" s="32">
        <v>0</v>
      </c>
      <c r="U11" s="28">
        <v>1444.6</v>
      </c>
      <c r="V11" s="10">
        <v>4.9000000000000004</v>
      </c>
      <c r="W11" s="11">
        <v>7.0666666666666664</v>
      </c>
      <c r="X11" s="12">
        <v>9.16</v>
      </c>
      <c r="Y11" s="9">
        <v>57.7</v>
      </c>
      <c r="Z11" s="13">
        <v>6.2940808856352115</v>
      </c>
      <c r="AA11">
        <v>0</v>
      </c>
      <c r="AB11" s="14">
        <v>7278.5</v>
      </c>
      <c r="AC11" s="31">
        <v>0</v>
      </c>
    </row>
    <row r="12" spans="1:29" x14ac:dyDescent="0.3">
      <c r="A12" s="7" t="s">
        <v>18</v>
      </c>
      <c r="B12" s="8">
        <v>1528.9</v>
      </c>
      <c r="C12" s="10">
        <v>-3.1333333333333333</v>
      </c>
      <c r="D12" s="11">
        <v>11.566666666666668</v>
      </c>
      <c r="E12" s="5">
        <f t="shared" si="0"/>
        <v>-4.0200000000000005</v>
      </c>
      <c r="F12" s="12">
        <v>7.7</v>
      </c>
      <c r="G12" s="9">
        <v>51.6</v>
      </c>
      <c r="H12" s="13">
        <v>6.7223933128024642</v>
      </c>
      <c r="I12">
        <v>0</v>
      </c>
      <c r="J12" s="14">
        <v>7374.1</v>
      </c>
      <c r="K12" s="32">
        <v>0</v>
      </c>
      <c r="L12" s="28">
        <v>1551.8</v>
      </c>
      <c r="M12" s="10">
        <v>0.80000000000000016</v>
      </c>
      <c r="N12" s="11">
        <v>9.4666666666666668</v>
      </c>
      <c r="O12" s="12">
        <v>11.72</v>
      </c>
      <c r="P12" s="9">
        <v>57.7</v>
      </c>
      <c r="Q12" s="13">
        <v>5.2534643045079807</v>
      </c>
      <c r="R12">
        <v>0</v>
      </c>
      <c r="S12" s="14">
        <v>7277.5</v>
      </c>
      <c r="T12" s="32">
        <v>0</v>
      </c>
      <c r="U12" s="28">
        <v>1460.9</v>
      </c>
      <c r="V12" s="10">
        <v>3.9333333333333331</v>
      </c>
      <c r="W12" s="11">
        <v>7.8</v>
      </c>
      <c r="X12" s="12">
        <v>8.51</v>
      </c>
      <c r="Y12" s="9">
        <v>57.7</v>
      </c>
      <c r="Z12" s="13">
        <v>5.6438930630788047</v>
      </c>
      <c r="AA12">
        <v>0</v>
      </c>
      <c r="AB12" s="14">
        <v>7379.3</v>
      </c>
      <c r="AC12" s="32">
        <v>0</v>
      </c>
    </row>
    <row r="13" spans="1:29" x14ac:dyDescent="0.3">
      <c r="A13" s="7" t="s">
        <v>19</v>
      </c>
      <c r="B13" s="8">
        <v>1620.2</v>
      </c>
      <c r="C13" s="10">
        <v>-12.966666666666667</v>
      </c>
      <c r="D13" s="11">
        <v>13.766666666666666</v>
      </c>
      <c r="E13" s="5">
        <f t="shared" si="0"/>
        <v>-1.75</v>
      </c>
      <c r="F13" s="12">
        <v>5.95</v>
      </c>
      <c r="G13" s="9">
        <v>51.6</v>
      </c>
      <c r="H13" s="13">
        <v>6.5953188897589836</v>
      </c>
      <c r="I13">
        <v>0</v>
      </c>
      <c r="J13" s="14">
        <v>7191.3</v>
      </c>
      <c r="K13" s="32">
        <v>1</v>
      </c>
      <c r="L13" s="28">
        <v>1528.9</v>
      </c>
      <c r="M13" s="10">
        <v>-3.1333333333333333</v>
      </c>
      <c r="N13" s="11">
        <v>11.566666666666668</v>
      </c>
      <c r="O13" s="12">
        <v>7.7</v>
      </c>
      <c r="P13" s="9">
        <v>51.6</v>
      </c>
      <c r="Q13" s="13">
        <v>6.7223933128024642</v>
      </c>
      <c r="R13">
        <v>0</v>
      </c>
      <c r="S13" s="14">
        <v>7374.1</v>
      </c>
      <c r="T13" s="32">
        <v>0</v>
      </c>
      <c r="U13" s="28">
        <v>1551.8</v>
      </c>
      <c r="V13" s="10">
        <v>0.80000000000000016</v>
      </c>
      <c r="W13" s="11">
        <v>9.4666666666666668</v>
      </c>
      <c r="X13" s="12">
        <v>11.72</v>
      </c>
      <c r="Y13" s="9">
        <v>57.7</v>
      </c>
      <c r="Z13" s="13">
        <v>5.2534643045079807</v>
      </c>
      <c r="AA13">
        <v>0</v>
      </c>
      <c r="AB13" s="14">
        <v>7277.5</v>
      </c>
      <c r="AC13" s="32">
        <v>0</v>
      </c>
    </row>
    <row r="14" spans="1:29" x14ac:dyDescent="0.3">
      <c r="A14" s="7" t="s">
        <v>20</v>
      </c>
      <c r="B14" s="8">
        <v>1683.5</v>
      </c>
      <c r="C14" s="10">
        <v>-14.5</v>
      </c>
      <c r="D14" s="11">
        <v>15.466666666666669</v>
      </c>
      <c r="E14" s="5">
        <f t="shared" si="0"/>
        <v>0.3199999999999994</v>
      </c>
      <c r="F14" s="12">
        <v>6.27</v>
      </c>
      <c r="G14" s="9">
        <v>51.6</v>
      </c>
      <c r="H14" s="13">
        <v>7.3938442758740948</v>
      </c>
      <c r="I14">
        <v>0</v>
      </c>
      <c r="J14" s="14">
        <v>6902</v>
      </c>
      <c r="K14" s="32">
        <v>1</v>
      </c>
      <c r="L14" s="28">
        <v>1620.2</v>
      </c>
      <c r="M14" s="10">
        <v>-12.966666666666667</v>
      </c>
      <c r="N14" s="11">
        <v>13.766666666666666</v>
      </c>
      <c r="O14" s="12">
        <v>5.95</v>
      </c>
      <c r="P14" s="9">
        <v>51.6</v>
      </c>
      <c r="Q14" s="13">
        <v>6.5953188897589836</v>
      </c>
      <c r="R14">
        <v>0</v>
      </c>
      <c r="S14" s="14">
        <v>7191.3</v>
      </c>
      <c r="T14" s="32">
        <v>1</v>
      </c>
      <c r="U14" s="28">
        <v>1528.9</v>
      </c>
      <c r="V14" s="10">
        <v>-3.1333333333333333</v>
      </c>
      <c r="W14" s="11">
        <v>11.566666666666668</v>
      </c>
      <c r="X14" s="12">
        <v>7.7</v>
      </c>
      <c r="Y14" s="9">
        <v>51.6</v>
      </c>
      <c r="Z14" s="13">
        <v>6.7223933128024642</v>
      </c>
      <c r="AA14">
        <v>0</v>
      </c>
      <c r="AB14" s="14">
        <v>7374.1</v>
      </c>
      <c r="AC14" s="32">
        <v>0</v>
      </c>
    </row>
    <row r="15" spans="1:29" x14ac:dyDescent="0.3">
      <c r="A15" s="7" t="s">
        <v>21</v>
      </c>
      <c r="B15" s="8">
        <v>1469.3</v>
      </c>
      <c r="C15" s="10">
        <v>-24.366666666666664</v>
      </c>
      <c r="D15" s="11">
        <v>15.566666666666668</v>
      </c>
      <c r="E15" s="5">
        <f t="shared" si="0"/>
        <v>5.7000000000000011</v>
      </c>
      <c r="F15" s="12">
        <v>11.97</v>
      </c>
      <c r="G15" s="9">
        <v>51.6</v>
      </c>
      <c r="H15" s="13">
        <v>10.2462967832413</v>
      </c>
      <c r="I15">
        <v>0</v>
      </c>
      <c r="J15" s="14">
        <v>6701.9</v>
      </c>
      <c r="K15" s="32">
        <v>1</v>
      </c>
      <c r="L15" s="28">
        <v>1683.5</v>
      </c>
      <c r="M15" s="10">
        <v>-14.5</v>
      </c>
      <c r="N15" s="11">
        <v>15.466666666666669</v>
      </c>
      <c r="O15" s="12">
        <v>6.27</v>
      </c>
      <c r="P15" s="9">
        <v>51.6</v>
      </c>
      <c r="Q15" s="13">
        <v>7.3938442758740948</v>
      </c>
      <c r="R15">
        <v>0</v>
      </c>
      <c r="S15" s="14">
        <v>6902</v>
      </c>
      <c r="T15" s="32">
        <v>1</v>
      </c>
      <c r="U15" s="28">
        <v>1620.2</v>
      </c>
      <c r="V15" s="10">
        <v>-12.966666666666667</v>
      </c>
      <c r="W15" s="11">
        <v>13.766666666666666</v>
      </c>
      <c r="X15" s="12">
        <v>5.95</v>
      </c>
      <c r="Y15" s="9">
        <v>51.6</v>
      </c>
      <c r="Z15" s="13">
        <v>6.5953188897589836</v>
      </c>
      <c r="AA15">
        <v>0</v>
      </c>
      <c r="AB15" s="14">
        <v>7191.3</v>
      </c>
      <c r="AC15" s="32">
        <v>1</v>
      </c>
    </row>
    <row r="16" spans="1:29" x14ac:dyDescent="0.3">
      <c r="A16" s="7" t="s">
        <v>22</v>
      </c>
      <c r="B16" s="8">
        <v>1165.8</v>
      </c>
      <c r="C16" s="10">
        <v>-33.9</v>
      </c>
      <c r="D16" s="11">
        <v>14.066666666666665</v>
      </c>
      <c r="E16" s="5">
        <f t="shared" si="0"/>
        <v>-0.37000000000000099</v>
      </c>
      <c r="F16" s="12">
        <v>11.6</v>
      </c>
      <c r="G16" s="9">
        <v>61</v>
      </c>
      <c r="H16" s="13">
        <v>14.246478249313368</v>
      </c>
      <c r="I16">
        <v>0</v>
      </c>
      <c r="J16" s="14">
        <v>6345.9</v>
      </c>
      <c r="K16" s="32">
        <v>1</v>
      </c>
      <c r="L16" s="28">
        <v>1469.3</v>
      </c>
      <c r="M16" s="10">
        <v>-24.366666666666664</v>
      </c>
      <c r="N16" s="11">
        <v>15.566666666666668</v>
      </c>
      <c r="O16" s="12">
        <v>11.97</v>
      </c>
      <c r="P16" s="9">
        <v>51.6</v>
      </c>
      <c r="Q16" s="13">
        <v>10.2462967832413</v>
      </c>
      <c r="R16">
        <v>0</v>
      </c>
      <c r="S16" s="14">
        <v>6701.9</v>
      </c>
      <c r="T16" s="32">
        <v>1</v>
      </c>
      <c r="U16" s="28">
        <v>1683.5</v>
      </c>
      <c r="V16" s="10">
        <v>-14.5</v>
      </c>
      <c r="W16" s="11">
        <v>15.466666666666669</v>
      </c>
      <c r="X16" s="12">
        <v>6.27</v>
      </c>
      <c r="Y16" s="9">
        <v>51.6</v>
      </c>
      <c r="Z16" s="13">
        <v>7.3938442758740948</v>
      </c>
      <c r="AA16">
        <v>0</v>
      </c>
      <c r="AB16" s="14">
        <v>6902</v>
      </c>
      <c r="AC16" s="32">
        <v>1</v>
      </c>
    </row>
    <row r="17" spans="1:29" x14ac:dyDescent="0.3">
      <c r="A17" s="7" t="s">
        <v>23</v>
      </c>
      <c r="B17" s="8">
        <v>1216.0999999999999</v>
      </c>
      <c r="C17" s="10">
        <v>-26.666666666666668</v>
      </c>
      <c r="D17" s="11">
        <v>11.200000000000001</v>
      </c>
      <c r="E17" s="5">
        <f t="shared" si="0"/>
        <v>4.3600000000000012</v>
      </c>
      <c r="F17" s="12">
        <v>15.96</v>
      </c>
      <c r="G17" s="9">
        <v>61</v>
      </c>
      <c r="H17" s="13">
        <v>17.247558462503363</v>
      </c>
      <c r="I17">
        <v>0</v>
      </c>
      <c r="J17" s="14">
        <v>5952.3</v>
      </c>
      <c r="K17" s="32">
        <v>1</v>
      </c>
      <c r="L17" s="28">
        <v>1165.8</v>
      </c>
      <c r="M17" s="10">
        <v>-33.9</v>
      </c>
      <c r="N17" s="11">
        <v>14.066666666666665</v>
      </c>
      <c r="O17" s="12">
        <v>11.6</v>
      </c>
      <c r="P17" s="9">
        <v>61</v>
      </c>
      <c r="Q17" s="13">
        <v>14.246478249313368</v>
      </c>
      <c r="R17">
        <v>0</v>
      </c>
      <c r="S17" s="14">
        <v>6345.9</v>
      </c>
      <c r="T17" s="32">
        <v>1</v>
      </c>
      <c r="U17" s="28">
        <v>1469.3</v>
      </c>
      <c r="V17" s="10">
        <v>-24.366666666666664</v>
      </c>
      <c r="W17" s="11">
        <v>15.566666666666668</v>
      </c>
      <c r="X17" s="12">
        <v>11.97</v>
      </c>
      <c r="Y17" s="9">
        <v>51.6</v>
      </c>
      <c r="Z17" s="13">
        <v>10.2462967832413</v>
      </c>
      <c r="AA17">
        <v>0</v>
      </c>
      <c r="AB17" s="14">
        <v>6701.9</v>
      </c>
      <c r="AC17" s="32">
        <v>1</v>
      </c>
    </row>
    <row r="18" spans="1:29" x14ac:dyDescent="0.3">
      <c r="A18" s="7" t="s">
        <v>24</v>
      </c>
      <c r="B18" s="8">
        <v>1297.7</v>
      </c>
      <c r="C18" s="10">
        <v>-24.166666666666668</v>
      </c>
      <c r="D18" s="11">
        <v>7.666666666666667</v>
      </c>
      <c r="E18" s="5">
        <f t="shared" si="0"/>
        <v>-2.0500000000000007</v>
      </c>
      <c r="F18" s="12">
        <v>13.91</v>
      </c>
      <c r="G18" s="9">
        <v>61</v>
      </c>
      <c r="H18" s="13">
        <v>18.782897774494412</v>
      </c>
      <c r="I18">
        <v>0</v>
      </c>
      <c r="J18" s="14">
        <v>5667</v>
      </c>
      <c r="K18" s="32">
        <v>1</v>
      </c>
      <c r="L18" s="28">
        <v>1216.0999999999999</v>
      </c>
      <c r="M18" s="10">
        <v>-26.666666666666668</v>
      </c>
      <c r="N18" s="11">
        <v>11.200000000000001</v>
      </c>
      <c r="O18" s="12">
        <v>15.96</v>
      </c>
      <c r="P18" s="9">
        <v>61</v>
      </c>
      <c r="Q18" s="13">
        <v>17.247558462503363</v>
      </c>
      <c r="R18">
        <v>0</v>
      </c>
      <c r="S18" s="14">
        <v>5952.3</v>
      </c>
      <c r="T18" s="32">
        <v>1</v>
      </c>
      <c r="U18" s="28">
        <v>1165.8</v>
      </c>
      <c r="V18" s="10">
        <v>-33.9</v>
      </c>
      <c r="W18" s="11">
        <v>14.066666666666665</v>
      </c>
      <c r="X18" s="12">
        <v>11.6</v>
      </c>
      <c r="Y18" s="9">
        <v>61</v>
      </c>
      <c r="Z18" s="13">
        <v>14.246478249313368</v>
      </c>
      <c r="AA18">
        <v>0</v>
      </c>
      <c r="AB18" s="14">
        <v>6345.9</v>
      </c>
      <c r="AC18" s="32">
        <v>1</v>
      </c>
    </row>
    <row r="19" spans="1:29" x14ac:dyDescent="0.3">
      <c r="A19" s="7" t="s">
        <v>25</v>
      </c>
      <c r="B19" s="8">
        <v>1445.9</v>
      </c>
      <c r="C19" s="10">
        <v>-19.633333333333333</v>
      </c>
      <c r="D19" s="11">
        <v>4.2666666666666666</v>
      </c>
      <c r="E19" s="5">
        <f t="shared" si="0"/>
        <v>-2.7200000000000006</v>
      </c>
      <c r="F19" s="12">
        <v>11.19</v>
      </c>
      <c r="G19" s="9">
        <v>61</v>
      </c>
      <c r="H19" s="13">
        <v>19.936914370535298</v>
      </c>
      <c r="I19">
        <v>0</v>
      </c>
      <c r="J19" s="14">
        <v>5710.7</v>
      </c>
      <c r="K19" s="32">
        <v>0</v>
      </c>
      <c r="L19" s="28">
        <v>1297.7</v>
      </c>
      <c r="M19" s="10">
        <v>-24.166666666666668</v>
      </c>
      <c r="N19" s="11">
        <v>7.666666666666667</v>
      </c>
      <c r="O19" s="12">
        <v>13.91</v>
      </c>
      <c r="P19" s="9">
        <v>61</v>
      </c>
      <c r="Q19" s="13">
        <v>18.782897774494412</v>
      </c>
      <c r="R19">
        <v>0</v>
      </c>
      <c r="S19" s="14">
        <v>5667</v>
      </c>
      <c r="T19" s="32">
        <v>1</v>
      </c>
      <c r="U19" s="28">
        <v>1216.0999999999999</v>
      </c>
      <c r="V19" s="10">
        <v>-26.666666666666668</v>
      </c>
      <c r="W19" s="11">
        <v>11.200000000000001</v>
      </c>
      <c r="X19" s="12">
        <v>15.96</v>
      </c>
      <c r="Y19" s="9">
        <v>61</v>
      </c>
      <c r="Z19" s="13">
        <v>17.247558462503363</v>
      </c>
      <c r="AA19">
        <v>0</v>
      </c>
      <c r="AB19" s="14">
        <v>5952.3</v>
      </c>
      <c r="AC19" s="32">
        <v>1</v>
      </c>
    </row>
    <row r="20" spans="1:29" x14ac:dyDescent="0.3">
      <c r="A20" s="7" t="s">
        <v>26</v>
      </c>
      <c r="B20" s="8">
        <v>1338.5</v>
      </c>
      <c r="C20" s="10">
        <v>-14.466666666666669</v>
      </c>
      <c r="D20" s="11">
        <v>1.1333333333333335</v>
      </c>
      <c r="E20" s="5">
        <f t="shared" si="0"/>
        <v>-7.7299999999999995</v>
      </c>
      <c r="F20" s="12">
        <v>3.46</v>
      </c>
      <c r="G20" s="9">
        <v>65.5</v>
      </c>
      <c r="H20" s="13">
        <v>21.251778093883356</v>
      </c>
      <c r="I20">
        <v>0</v>
      </c>
      <c r="J20" s="14">
        <v>5710.8</v>
      </c>
      <c r="K20" s="32">
        <v>0</v>
      </c>
      <c r="L20" s="28">
        <v>1445.9</v>
      </c>
      <c r="M20" s="10">
        <v>-19.633333333333333</v>
      </c>
      <c r="N20" s="11">
        <v>4.2666666666666666</v>
      </c>
      <c r="O20" s="12">
        <v>11.19</v>
      </c>
      <c r="P20" s="9">
        <v>61</v>
      </c>
      <c r="Q20" s="13">
        <v>19.936914370535298</v>
      </c>
      <c r="R20">
        <v>0</v>
      </c>
      <c r="S20" s="14">
        <v>5710.7</v>
      </c>
      <c r="T20" s="32">
        <v>0</v>
      </c>
      <c r="U20" s="28">
        <v>1297.7</v>
      </c>
      <c r="V20" s="10">
        <v>-24.166666666666668</v>
      </c>
      <c r="W20" s="11">
        <v>7.666666666666667</v>
      </c>
      <c r="X20" s="12">
        <v>13.91</v>
      </c>
      <c r="Y20" s="9">
        <v>61</v>
      </c>
      <c r="Z20" s="13">
        <v>18.782897774494412</v>
      </c>
      <c r="AA20">
        <v>0</v>
      </c>
      <c r="AB20" s="14">
        <v>5667</v>
      </c>
      <c r="AC20" s="32">
        <v>1</v>
      </c>
    </row>
    <row r="21" spans="1:29" x14ac:dyDescent="0.3">
      <c r="A21" s="7" t="s">
        <v>27</v>
      </c>
      <c r="B21" s="8">
        <v>1599.2</v>
      </c>
      <c r="C21" s="10">
        <v>-7.3</v>
      </c>
      <c r="D21" s="11">
        <v>-1.1333333333333333</v>
      </c>
      <c r="E21" s="5">
        <f t="shared" si="0"/>
        <v>-1.31</v>
      </c>
      <c r="F21" s="12">
        <v>2.15</v>
      </c>
      <c r="G21" s="9">
        <v>65.5</v>
      </c>
      <c r="H21" s="13">
        <v>20.385961593037557</v>
      </c>
      <c r="I21">
        <v>0</v>
      </c>
      <c r="J21" s="14">
        <v>5668.4</v>
      </c>
      <c r="K21" s="32">
        <v>1</v>
      </c>
      <c r="L21" s="28">
        <v>1338.5</v>
      </c>
      <c r="M21" s="10">
        <v>-14.466666666666669</v>
      </c>
      <c r="N21" s="11">
        <v>1.1333333333333335</v>
      </c>
      <c r="O21" s="12">
        <v>3.46</v>
      </c>
      <c r="P21" s="9">
        <v>65.5</v>
      </c>
      <c r="Q21" s="13">
        <v>21.251778093883356</v>
      </c>
      <c r="R21">
        <v>0</v>
      </c>
      <c r="S21" s="14">
        <v>5710.8</v>
      </c>
      <c r="T21" s="32">
        <v>0</v>
      </c>
      <c r="U21" s="28">
        <v>1445.9</v>
      </c>
      <c r="V21" s="10">
        <v>-19.633333333333333</v>
      </c>
      <c r="W21" s="11">
        <v>4.2666666666666666</v>
      </c>
      <c r="X21" s="12">
        <v>11.19</v>
      </c>
      <c r="Y21" s="9">
        <v>61</v>
      </c>
      <c r="Z21" s="13">
        <v>19.936914370535298</v>
      </c>
      <c r="AA21">
        <v>0</v>
      </c>
      <c r="AB21" s="14">
        <v>5710.7</v>
      </c>
      <c r="AC21" s="32">
        <v>0</v>
      </c>
    </row>
    <row r="22" spans="1:29" x14ac:dyDescent="0.3">
      <c r="A22" s="7" t="s">
        <v>28</v>
      </c>
      <c r="B22" s="8">
        <v>1835.4</v>
      </c>
      <c r="C22" s="10">
        <v>-5.666666666666667</v>
      </c>
      <c r="D22" s="11">
        <v>-1.9333333333333333</v>
      </c>
      <c r="E22" s="5">
        <f t="shared" si="0"/>
        <v>-0.74</v>
      </c>
      <c r="F22" s="12">
        <v>1.41</v>
      </c>
      <c r="G22" s="9">
        <v>65.5</v>
      </c>
      <c r="H22" s="13">
        <v>18.532420005630101</v>
      </c>
      <c r="I22">
        <v>0</v>
      </c>
      <c r="J22" s="14">
        <v>5653.2</v>
      </c>
      <c r="K22" s="32">
        <v>1</v>
      </c>
      <c r="L22" s="28">
        <v>1599.2</v>
      </c>
      <c r="M22" s="10">
        <v>-7.3</v>
      </c>
      <c r="N22" s="11">
        <v>-1.1333333333333333</v>
      </c>
      <c r="O22" s="12">
        <v>2.15</v>
      </c>
      <c r="P22" s="9">
        <v>65.5</v>
      </c>
      <c r="Q22" s="13">
        <v>20.385961593037557</v>
      </c>
      <c r="R22">
        <v>0</v>
      </c>
      <c r="S22" s="14">
        <v>5668.4</v>
      </c>
      <c r="T22" s="32">
        <v>1</v>
      </c>
      <c r="U22" s="28">
        <v>1338.5</v>
      </c>
      <c r="V22" s="10">
        <v>-14.466666666666669</v>
      </c>
      <c r="W22" s="11">
        <v>1.1333333333333335</v>
      </c>
      <c r="X22" s="12">
        <v>3.46</v>
      </c>
      <c r="Y22" s="9">
        <v>65.5</v>
      </c>
      <c r="Z22" s="13">
        <v>21.251778093883356</v>
      </c>
      <c r="AA22">
        <v>0</v>
      </c>
      <c r="AB22" s="14">
        <v>5710.8</v>
      </c>
      <c r="AC22" s="32">
        <v>0</v>
      </c>
    </row>
    <row r="23" spans="1:29" x14ac:dyDescent="0.3">
      <c r="A23" s="7" t="s">
        <v>29</v>
      </c>
      <c r="B23" s="8">
        <v>1907.1</v>
      </c>
      <c r="C23" s="10">
        <v>-6.2333333333333334</v>
      </c>
      <c r="D23" s="11">
        <v>-1.5</v>
      </c>
      <c r="E23" s="5">
        <f t="shared" si="0"/>
        <v>-0.40999999999999992</v>
      </c>
      <c r="F23" s="12">
        <v>1</v>
      </c>
      <c r="G23" s="9">
        <v>65.5</v>
      </c>
      <c r="H23" s="13">
        <v>17.764851721178601</v>
      </c>
      <c r="I23">
        <v>0</v>
      </c>
      <c r="J23" s="14">
        <v>5712.5</v>
      </c>
      <c r="K23" s="32">
        <v>0</v>
      </c>
      <c r="L23" s="28">
        <v>1835.4</v>
      </c>
      <c r="M23" s="10">
        <v>-5.666666666666667</v>
      </c>
      <c r="N23" s="11">
        <v>-1.9333333333333333</v>
      </c>
      <c r="O23" s="12">
        <v>1.41</v>
      </c>
      <c r="P23" s="9">
        <v>65.5</v>
      </c>
      <c r="Q23" s="13">
        <v>18.532420005630101</v>
      </c>
      <c r="R23">
        <v>0</v>
      </c>
      <c r="S23" s="14">
        <v>5653.2</v>
      </c>
      <c r="T23" s="32">
        <v>1</v>
      </c>
      <c r="U23" s="28">
        <v>1599.2</v>
      </c>
      <c r="V23" s="10">
        <v>-7.3</v>
      </c>
      <c r="W23" s="11">
        <v>-1.1333333333333333</v>
      </c>
      <c r="X23" s="12">
        <v>2.15</v>
      </c>
      <c r="Y23" s="9">
        <v>65.5</v>
      </c>
      <c r="Z23" s="13">
        <v>20.385961593037557</v>
      </c>
      <c r="AA23">
        <v>0</v>
      </c>
      <c r="AB23" s="14">
        <v>5668.4</v>
      </c>
      <c r="AC23" s="32">
        <v>1</v>
      </c>
    </row>
    <row r="24" spans="1:29" x14ac:dyDescent="0.3">
      <c r="A24" s="7" t="s">
        <v>30</v>
      </c>
      <c r="B24" s="8">
        <v>1890.3</v>
      </c>
      <c r="C24" s="10">
        <v>-7.0666666666666664</v>
      </c>
      <c r="D24" s="11">
        <v>0</v>
      </c>
      <c r="E24" s="5">
        <f t="shared" si="0"/>
        <v>-0.14000000000000001</v>
      </c>
      <c r="F24" s="12">
        <v>0.86</v>
      </c>
      <c r="G24" s="9">
        <v>67.7</v>
      </c>
      <c r="H24" s="13">
        <v>17.629089475758771</v>
      </c>
      <c r="I24">
        <v>0</v>
      </c>
      <c r="J24" s="14">
        <v>5677.8</v>
      </c>
      <c r="K24" s="32">
        <v>0</v>
      </c>
      <c r="L24" s="28">
        <v>1907.1</v>
      </c>
      <c r="M24" s="10">
        <v>-6.2333333333333334</v>
      </c>
      <c r="N24" s="11">
        <v>-1.5</v>
      </c>
      <c r="O24" s="12">
        <v>1</v>
      </c>
      <c r="P24" s="9">
        <v>65.5</v>
      </c>
      <c r="Q24" s="13">
        <v>17.764851721178601</v>
      </c>
      <c r="R24">
        <v>0</v>
      </c>
      <c r="S24" s="14">
        <v>5712.5</v>
      </c>
      <c r="T24" s="32">
        <v>0</v>
      </c>
      <c r="U24" s="28">
        <v>1835.4</v>
      </c>
      <c r="V24" s="10">
        <v>-5.666666666666667</v>
      </c>
      <c r="W24" s="11">
        <v>-1.9333333333333333</v>
      </c>
      <c r="X24" s="12">
        <v>1.41</v>
      </c>
      <c r="Y24" s="9">
        <v>65.5</v>
      </c>
      <c r="Z24" s="13">
        <v>18.532420005630101</v>
      </c>
      <c r="AA24">
        <v>0</v>
      </c>
      <c r="AB24" s="14">
        <v>5653.2</v>
      </c>
      <c r="AC24" s="32">
        <v>1</v>
      </c>
    </row>
    <row r="25" spans="1:29" x14ac:dyDescent="0.3">
      <c r="A25" s="7" t="s">
        <v>31</v>
      </c>
      <c r="B25" s="8">
        <v>2120.1</v>
      </c>
      <c r="C25" s="10">
        <v>-5.166666666666667</v>
      </c>
      <c r="D25" s="11">
        <v>1.8666666666666665</v>
      </c>
      <c r="E25" s="5">
        <f t="shared" si="0"/>
        <v>-8.9999999999999969E-2</v>
      </c>
      <c r="F25" s="12">
        <v>0.77</v>
      </c>
      <c r="G25" s="9">
        <v>67.7</v>
      </c>
      <c r="H25" s="13">
        <v>17.117204093454337</v>
      </c>
      <c r="I25">
        <v>0</v>
      </c>
      <c r="J25" s="14">
        <v>5834.5</v>
      </c>
      <c r="K25" s="32">
        <v>0</v>
      </c>
      <c r="L25" s="28">
        <v>1890.3</v>
      </c>
      <c r="M25" s="10">
        <v>-7.0666666666666664</v>
      </c>
      <c r="N25" s="11">
        <v>0</v>
      </c>
      <c r="O25" s="12">
        <v>0.86</v>
      </c>
      <c r="P25" s="9">
        <v>67.7</v>
      </c>
      <c r="Q25" s="13">
        <v>17.629089475758771</v>
      </c>
      <c r="R25">
        <v>0</v>
      </c>
      <c r="S25" s="14">
        <v>5677.8</v>
      </c>
      <c r="T25" s="32">
        <v>0</v>
      </c>
      <c r="U25" s="28">
        <v>1907.1</v>
      </c>
      <c r="V25" s="10">
        <v>-6.2333333333333334</v>
      </c>
      <c r="W25" s="11">
        <v>-1.5</v>
      </c>
      <c r="X25" s="12">
        <v>1</v>
      </c>
      <c r="Y25" s="9">
        <v>65.5</v>
      </c>
      <c r="Z25" s="13">
        <v>17.764851721178601</v>
      </c>
      <c r="AA25">
        <v>0</v>
      </c>
      <c r="AB25" s="14">
        <v>5712.5</v>
      </c>
      <c r="AC25" s="32">
        <v>0</v>
      </c>
    </row>
    <row r="26" spans="1:29" x14ac:dyDescent="0.3">
      <c r="A26" s="7" t="s">
        <v>32</v>
      </c>
      <c r="B26" s="8">
        <v>2234.3000000000002</v>
      </c>
      <c r="C26" s="10">
        <v>-4.333333333333333</v>
      </c>
      <c r="D26" s="11">
        <v>3.2666666666666662</v>
      </c>
      <c r="E26" s="5">
        <f t="shared" si="0"/>
        <v>6.9999999999999951E-2</v>
      </c>
      <c r="F26" s="12">
        <v>0.84</v>
      </c>
      <c r="G26" s="9">
        <v>67.7</v>
      </c>
      <c r="H26" s="13">
        <v>15.080058224163029</v>
      </c>
      <c r="I26">
        <v>0</v>
      </c>
      <c r="J26" s="14">
        <v>5935.2</v>
      </c>
      <c r="K26" s="32">
        <v>0</v>
      </c>
      <c r="L26" s="28">
        <v>2120.1</v>
      </c>
      <c r="M26" s="10">
        <v>-5.166666666666667</v>
      </c>
      <c r="N26" s="11">
        <v>1.8666666666666665</v>
      </c>
      <c r="O26" s="12">
        <v>0.77</v>
      </c>
      <c r="P26" s="9">
        <v>67.7</v>
      </c>
      <c r="Q26" s="13">
        <v>17.117204093454337</v>
      </c>
      <c r="R26">
        <v>0</v>
      </c>
      <c r="S26" s="14">
        <v>5834.5</v>
      </c>
      <c r="T26" s="32">
        <v>0</v>
      </c>
      <c r="U26" s="28">
        <v>1890.3</v>
      </c>
      <c r="V26" s="10">
        <v>-7.0666666666666664</v>
      </c>
      <c r="W26" s="11">
        <v>0</v>
      </c>
      <c r="X26" s="12">
        <v>0.86</v>
      </c>
      <c r="Y26" s="9">
        <v>67.7</v>
      </c>
      <c r="Z26" s="13">
        <v>17.629089475758771</v>
      </c>
      <c r="AA26">
        <v>0</v>
      </c>
      <c r="AB26" s="14">
        <v>5677.8</v>
      </c>
      <c r="AC26" s="32">
        <v>0</v>
      </c>
    </row>
    <row r="27" spans="1:29" x14ac:dyDescent="0.3">
      <c r="A27" s="7" t="s">
        <v>33</v>
      </c>
      <c r="B27" s="8">
        <v>2290.4</v>
      </c>
      <c r="C27" s="10">
        <v>-4.9666666666666668</v>
      </c>
      <c r="D27" s="11">
        <v>4.0666666666666664</v>
      </c>
      <c r="E27" s="5">
        <f t="shared" si="0"/>
        <v>0.53000000000000014</v>
      </c>
      <c r="F27" s="12">
        <v>1.37</v>
      </c>
      <c r="G27" s="9">
        <v>67.7</v>
      </c>
      <c r="H27" s="13">
        <v>15.022291141694128</v>
      </c>
      <c r="I27">
        <v>0</v>
      </c>
      <c r="J27" s="14">
        <v>5963.4</v>
      </c>
      <c r="K27" s="32">
        <v>0</v>
      </c>
      <c r="L27" s="28">
        <v>2234.3000000000002</v>
      </c>
      <c r="M27" s="10">
        <v>-4.333333333333333</v>
      </c>
      <c r="N27" s="11">
        <v>3.2666666666666662</v>
      </c>
      <c r="O27" s="12">
        <v>0.84</v>
      </c>
      <c r="P27" s="9">
        <v>67.7</v>
      </c>
      <c r="Q27" s="13">
        <v>15.080058224163029</v>
      </c>
      <c r="R27">
        <v>0</v>
      </c>
      <c r="S27" s="14">
        <v>5935.2</v>
      </c>
      <c r="T27" s="32">
        <v>0</v>
      </c>
      <c r="U27" s="28">
        <v>2120.1</v>
      </c>
      <c r="V27" s="10">
        <v>-5.166666666666667</v>
      </c>
      <c r="W27" s="11">
        <v>1.8666666666666665</v>
      </c>
      <c r="X27" s="12">
        <v>0.77</v>
      </c>
      <c r="Y27" s="9">
        <v>67.7</v>
      </c>
      <c r="Z27" s="13">
        <v>17.117204093454337</v>
      </c>
      <c r="AA27">
        <v>0</v>
      </c>
      <c r="AB27" s="14">
        <v>5834.5</v>
      </c>
      <c r="AC27" s="32">
        <v>0</v>
      </c>
    </row>
    <row r="28" spans="1:29" x14ac:dyDescent="0.3">
      <c r="A28" s="7" t="s">
        <v>34</v>
      </c>
      <c r="B28" s="8">
        <v>2160.9</v>
      </c>
      <c r="C28" s="10">
        <v>-4.5666666666666664</v>
      </c>
      <c r="D28" s="11">
        <v>4.166666666666667</v>
      </c>
      <c r="E28" s="5">
        <f t="shared" si="0"/>
        <v>5.9999999999999831E-2</v>
      </c>
      <c r="F28" s="12">
        <v>1.43</v>
      </c>
      <c r="G28" s="9">
        <v>64.099999999999994</v>
      </c>
      <c r="H28" s="13">
        <v>16.331360946745562</v>
      </c>
      <c r="I28">
        <v>0</v>
      </c>
      <c r="J28" s="14">
        <v>6277.8</v>
      </c>
      <c r="K28" s="32">
        <v>0</v>
      </c>
      <c r="L28" s="28">
        <v>2290.4</v>
      </c>
      <c r="M28" s="10">
        <v>-4.9666666666666668</v>
      </c>
      <c r="N28" s="11">
        <v>4.0666666666666664</v>
      </c>
      <c r="O28" s="12">
        <v>1.37</v>
      </c>
      <c r="P28" s="9">
        <v>67.7</v>
      </c>
      <c r="Q28" s="13">
        <v>15.022291141694128</v>
      </c>
      <c r="R28">
        <v>0</v>
      </c>
      <c r="S28" s="14">
        <v>5963.4</v>
      </c>
      <c r="T28" s="32">
        <v>0</v>
      </c>
      <c r="U28" s="28">
        <v>2234.3000000000002</v>
      </c>
      <c r="V28" s="10">
        <v>-4.333333333333333</v>
      </c>
      <c r="W28" s="11">
        <v>3.2666666666666662</v>
      </c>
      <c r="X28" s="12">
        <v>0.84</v>
      </c>
      <c r="Y28" s="9">
        <v>67.7</v>
      </c>
      <c r="Z28" s="13">
        <v>15.080058224163029</v>
      </c>
      <c r="AA28">
        <v>0</v>
      </c>
      <c r="AB28" s="14">
        <v>5935.2</v>
      </c>
      <c r="AC28" s="32">
        <v>0</v>
      </c>
    </row>
    <row r="29" spans="1:29" x14ac:dyDescent="0.3">
      <c r="A29" s="7" t="s">
        <v>35</v>
      </c>
      <c r="B29" s="8">
        <v>2299.9</v>
      </c>
      <c r="C29" s="10">
        <v>-4.4333333333333336</v>
      </c>
      <c r="D29" s="11">
        <v>3.7333333333333329</v>
      </c>
      <c r="E29" s="5">
        <f t="shared" si="0"/>
        <v>-0.48</v>
      </c>
      <c r="F29" s="12">
        <v>0.95</v>
      </c>
      <c r="G29" s="9">
        <v>64.099999999999994</v>
      </c>
      <c r="H29" s="13">
        <v>16.277047913446676</v>
      </c>
      <c r="I29">
        <v>0</v>
      </c>
      <c r="J29" s="14">
        <v>6245.5</v>
      </c>
      <c r="K29" s="32">
        <v>0</v>
      </c>
      <c r="L29" s="28">
        <v>2160.9</v>
      </c>
      <c r="M29" s="10">
        <v>-4.5666666666666664</v>
      </c>
      <c r="N29" s="11">
        <v>4.166666666666667</v>
      </c>
      <c r="O29" s="12">
        <v>1.43</v>
      </c>
      <c r="P29" s="9">
        <v>64.099999999999994</v>
      </c>
      <c r="Q29" s="13">
        <v>16.331360946745562</v>
      </c>
      <c r="R29">
        <v>0</v>
      </c>
      <c r="S29" s="14">
        <v>6277.8</v>
      </c>
      <c r="T29" s="32">
        <v>0</v>
      </c>
      <c r="U29" s="28">
        <v>2290.4</v>
      </c>
      <c r="V29" s="10">
        <v>-4.9666666666666668</v>
      </c>
      <c r="W29" s="11">
        <v>4.0666666666666664</v>
      </c>
      <c r="X29" s="12">
        <v>1.37</v>
      </c>
      <c r="Y29" s="9">
        <v>67.7</v>
      </c>
      <c r="Z29" s="13">
        <v>15.022291141694128</v>
      </c>
      <c r="AA29">
        <v>0</v>
      </c>
      <c r="AB29" s="14">
        <v>5963.4</v>
      </c>
      <c r="AC29" s="32">
        <v>0</v>
      </c>
    </row>
    <row r="30" spans="1:29" x14ac:dyDescent="0.3">
      <c r="A30" s="15" t="s">
        <v>36</v>
      </c>
      <c r="B30" s="8">
        <v>2623.3</v>
      </c>
      <c r="C30" s="10">
        <v>-3.8000000000000003</v>
      </c>
      <c r="D30" s="11">
        <v>3.1</v>
      </c>
      <c r="E30" s="5">
        <f t="shared" si="0"/>
        <v>-0.29999999999999993</v>
      </c>
      <c r="F30" s="16">
        <v>0.65</v>
      </c>
      <c r="G30" s="17">
        <v>64.099999999999994</v>
      </c>
      <c r="H30" s="18">
        <v>13.680656054027979</v>
      </c>
      <c r="I30">
        <v>0</v>
      </c>
      <c r="J30" s="14">
        <v>6289.1</v>
      </c>
      <c r="K30" s="32">
        <v>0</v>
      </c>
      <c r="L30" s="28">
        <v>2299.9</v>
      </c>
      <c r="M30" s="10">
        <v>-4.4333333333333336</v>
      </c>
      <c r="N30" s="11">
        <v>3.7333333333333329</v>
      </c>
      <c r="O30" s="12">
        <v>0.95</v>
      </c>
      <c r="P30" s="9">
        <v>64.099999999999994</v>
      </c>
      <c r="Q30" s="13">
        <v>16.277047913446676</v>
      </c>
      <c r="R30">
        <v>0</v>
      </c>
      <c r="S30" s="14">
        <v>6245.5</v>
      </c>
      <c r="T30" s="32">
        <v>0</v>
      </c>
      <c r="U30" s="28">
        <v>2160.9</v>
      </c>
      <c r="V30" s="10">
        <v>-4.5666666666666664</v>
      </c>
      <c r="W30" s="11">
        <v>4.166666666666667</v>
      </c>
      <c r="X30" s="12">
        <v>1.43</v>
      </c>
      <c r="Y30" s="9">
        <v>64.099999999999994</v>
      </c>
      <c r="Z30" s="13">
        <v>16.331360946745562</v>
      </c>
      <c r="AA30">
        <v>0</v>
      </c>
      <c r="AB30" s="14">
        <v>6277.8</v>
      </c>
      <c r="AC30" s="32">
        <v>0</v>
      </c>
    </row>
    <row r="31" spans="1:29" x14ac:dyDescent="0.3">
      <c r="A31" s="15" t="s">
        <v>37</v>
      </c>
      <c r="B31" s="8">
        <v>2787</v>
      </c>
      <c r="C31" s="10">
        <v>-3.0333333333333337</v>
      </c>
      <c r="D31" s="11">
        <v>2.5</v>
      </c>
      <c r="E31" s="5">
        <f t="shared" si="0"/>
        <v>-0.12</v>
      </c>
      <c r="F31" s="16">
        <v>0.53</v>
      </c>
      <c r="G31" s="17">
        <v>64.099999999999994</v>
      </c>
      <c r="H31" s="18">
        <v>13.931739298110296</v>
      </c>
      <c r="I31">
        <v>0</v>
      </c>
      <c r="J31" s="14">
        <v>6321.6</v>
      </c>
      <c r="K31" s="32">
        <v>0</v>
      </c>
      <c r="L31" s="28">
        <v>2623.3</v>
      </c>
      <c r="M31" s="10">
        <v>-3.8000000000000003</v>
      </c>
      <c r="N31" s="11">
        <v>3.1</v>
      </c>
      <c r="O31" s="16">
        <v>0.65</v>
      </c>
      <c r="P31" s="17">
        <v>64.099999999999994</v>
      </c>
      <c r="Q31" s="18">
        <v>13.680656054027979</v>
      </c>
      <c r="R31">
        <v>0</v>
      </c>
      <c r="S31" s="14">
        <v>6289.1</v>
      </c>
      <c r="T31" s="32">
        <v>0</v>
      </c>
      <c r="U31" s="28">
        <v>2299.9</v>
      </c>
      <c r="V31" s="10">
        <v>-4.4333333333333336</v>
      </c>
      <c r="W31" s="11">
        <v>3.7333333333333329</v>
      </c>
      <c r="X31" s="12">
        <v>0.95</v>
      </c>
      <c r="Y31" s="9">
        <v>64.099999999999994</v>
      </c>
      <c r="Z31" s="13">
        <v>16.277047913446676</v>
      </c>
      <c r="AA31">
        <v>0</v>
      </c>
      <c r="AB31" s="14">
        <v>6245.5</v>
      </c>
      <c r="AC31" s="32">
        <v>0</v>
      </c>
    </row>
    <row r="32" spans="1:29" x14ac:dyDescent="0.3">
      <c r="A32" s="15" t="s">
        <v>38</v>
      </c>
      <c r="B32" s="8">
        <v>2337.5</v>
      </c>
      <c r="C32" s="10">
        <v>-3.4</v>
      </c>
      <c r="D32" s="11">
        <v>1.8333333333333333</v>
      </c>
      <c r="E32" s="5">
        <f t="shared" si="0"/>
        <v>-4.0000000000000036E-2</v>
      </c>
      <c r="F32" s="16">
        <v>0.49</v>
      </c>
      <c r="G32" s="17">
        <v>55.7</v>
      </c>
      <c r="H32" s="18">
        <v>12.99792428585549</v>
      </c>
      <c r="I32">
        <v>0</v>
      </c>
      <c r="J32" s="14">
        <v>6326.1</v>
      </c>
      <c r="K32" s="32">
        <v>0</v>
      </c>
      <c r="L32" s="28">
        <v>2787</v>
      </c>
      <c r="M32" s="10">
        <v>-3.0333333333333337</v>
      </c>
      <c r="N32" s="11">
        <v>2.5</v>
      </c>
      <c r="O32" s="16">
        <v>0.53</v>
      </c>
      <c r="P32" s="17">
        <v>64.099999999999994</v>
      </c>
      <c r="Q32" s="18">
        <v>13.931739298110296</v>
      </c>
      <c r="R32">
        <v>0</v>
      </c>
      <c r="S32" s="14">
        <v>6321.6</v>
      </c>
      <c r="T32" s="32">
        <v>0</v>
      </c>
      <c r="U32" s="28">
        <v>2623.3</v>
      </c>
      <c r="V32" s="10">
        <v>-3.8000000000000003</v>
      </c>
      <c r="W32" s="11">
        <v>3.1</v>
      </c>
      <c r="X32" s="16">
        <v>0.65</v>
      </c>
      <c r="Y32" s="17">
        <v>64.099999999999994</v>
      </c>
      <c r="Z32" s="18">
        <v>13.680656054027979</v>
      </c>
      <c r="AA32">
        <v>0</v>
      </c>
      <c r="AB32" s="14">
        <v>6289.1</v>
      </c>
      <c r="AC32" s="32">
        <v>0</v>
      </c>
    </row>
    <row r="33" spans="1:29" x14ac:dyDescent="0.3">
      <c r="A33" s="15" t="s">
        <v>39</v>
      </c>
      <c r="B33" s="8">
        <v>2421.6</v>
      </c>
      <c r="C33" s="10">
        <v>-3.6666666666666665</v>
      </c>
      <c r="D33" s="11">
        <v>1.1000000000000001</v>
      </c>
      <c r="E33" s="5">
        <f t="shared" si="0"/>
        <v>-8.0000000000000016E-2</v>
      </c>
      <c r="F33" s="16">
        <v>0.41</v>
      </c>
      <c r="G33" s="17">
        <v>55.7</v>
      </c>
      <c r="H33" s="18">
        <v>11.427717445451828</v>
      </c>
      <c r="I33">
        <v>0</v>
      </c>
      <c r="J33" s="14">
        <v>6373.3</v>
      </c>
      <c r="K33" s="32">
        <v>0</v>
      </c>
      <c r="L33" s="28">
        <v>2337.5</v>
      </c>
      <c r="M33" s="10">
        <v>-3.4</v>
      </c>
      <c r="N33" s="11">
        <v>1.8333333333333333</v>
      </c>
      <c r="O33" s="16">
        <v>0.49</v>
      </c>
      <c r="P33" s="17">
        <v>55.7</v>
      </c>
      <c r="Q33" s="18">
        <v>12.99792428585549</v>
      </c>
      <c r="R33">
        <v>0</v>
      </c>
      <c r="S33" s="14">
        <v>6326.1</v>
      </c>
      <c r="T33" s="32">
        <v>0</v>
      </c>
      <c r="U33" s="28">
        <v>2787</v>
      </c>
      <c r="V33" s="10">
        <v>-3.0333333333333337</v>
      </c>
      <c r="W33" s="11">
        <v>2.5</v>
      </c>
      <c r="X33" s="16">
        <v>0.53</v>
      </c>
      <c r="Y33" s="17">
        <v>64.099999999999994</v>
      </c>
      <c r="Z33" s="18">
        <v>13.931739298110296</v>
      </c>
      <c r="AA33">
        <v>0</v>
      </c>
      <c r="AB33" s="14">
        <v>6321.6</v>
      </c>
      <c r="AC33" s="32">
        <v>0</v>
      </c>
    </row>
    <row r="34" spans="1:29" x14ac:dyDescent="0.3">
      <c r="A34" s="15" t="s">
        <v>40</v>
      </c>
      <c r="B34" s="8">
        <v>2550.1</v>
      </c>
      <c r="C34" s="10">
        <v>-2.5333333333333332</v>
      </c>
      <c r="D34" s="11">
        <v>0.66666666666666663</v>
      </c>
      <c r="E34" s="5">
        <f t="shared" si="0"/>
        <v>-0.10999999999999999</v>
      </c>
      <c r="F34" s="16">
        <v>0.3</v>
      </c>
      <c r="G34" s="17">
        <v>55.7</v>
      </c>
      <c r="H34" s="18">
        <v>11.773298276365761</v>
      </c>
      <c r="I34">
        <v>0</v>
      </c>
      <c r="J34" s="14">
        <v>6458.9</v>
      </c>
      <c r="K34" s="32">
        <v>0</v>
      </c>
      <c r="L34" s="28">
        <v>2421.6</v>
      </c>
      <c r="M34" s="10">
        <v>-3.6666666666666665</v>
      </c>
      <c r="N34" s="11">
        <v>1.1000000000000001</v>
      </c>
      <c r="O34" s="16">
        <v>0.41</v>
      </c>
      <c r="P34" s="17">
        <v>55.7</v>
      </c>
      <c r="Q34" s="18">
        <v>11.427717445451828</v>
      </c>
      <c r="R34">
        <v>0</v>
      </c>
      <c r="S34" s="14">
        <v>6373.3</v>
      </c>
      <c r="T34" s="32">
        <v>0</v>
      </c>
      <c r="U34" s="28">
        <v>2337.5</v>
      </c>
      <c r="V34" s="10">
        <v>-3.4</v>
      </c>
      <c r="W34" s="11">
        <v>1.8333333333333333</v>
      </c>
      <c r="X34" s="16">
        <v>0.49</v>
      </c>
      <c r="Y34" s="17">
        <v>55.7</v>
      </c>
      <c r="Z34" s="18">
        <v>12.99792428585549</v>
      </c>
      <c r="AA34">
        <v>0</v>
      </c>
      <c r="AB34" s="14">
        <v>6326.1</v>
      </c>
      <c r="AC34" s="32">
        <v>0</v>
      </c>
    </row>
    <row r="35" spans="1:29" x14ac:dyDescent="0.3">
      <c r="A35" s="15" t="s">
        <v>41</v>
      </c>
      <c r="B35" s="8">
        <v>2712.1</v>
      </c>
      <c r="C35" s="10">
        <v>-2.7666666666666671</v>
      </c>
      <c r="D35" s="11">
        <v>0.16666666666666666</v>
      </c>
      <c r="E35" s="5">
        <f t="shared" si="0"/>
        <v>-3.999999999999998E-2</v>
      </c>
      <c r="F35" s="16">
        <v>0.26</v>
      </c>
      <c r="G35" s="17">
        <v>55.7</v>
      </c>
      <c r="H35" s="18">
        <v>11.274268256627575</v>
      </c>
      <c r="I35">
        <v>0</v>
      </c>
      <c r="J35" s="14">
        <v>6489.4</v>
      </c>
      <c r="K35" s="32">
        <v>0</v>
      </c>
      <c r="L35" s="28">
        <v>2550.1</v>
      </c>
      <c r="M35" s="10">
        <v>-2.5333333333333332</v>
      </c>
      <c r="N35" s="11">
        <v>0.66666666666666663</v>
      </c>
      <c r="O35" s="16">
        <v>0.3</v>
      </c>
      <c r="P35" s="17">
        <v>55.7</v>
      </c>
      <c r="Q35" s="18">
        <v>11.773298276365761</v>
      </c>
      <c r="R35">
        <v>0</v>
      </c>
      <c r="S35" s="14">
        <v>6458.9</v>
      </c>
      <c r="T35" s="32">
        <v>0</v>
      </c>
      <c r="U35" s="28">
        <v>2421.6</v>
      </c>
      <c r="V35" s="10">
        <v>-3.6666666666666665</v>
      </c>
      <c r="W35" s="11">
        <v>1.1000000000000001</v>
      </c>
      <c r="X35" s="16">
        <v>0.41</v>
      </c>
      <c r="Y35" s="17">
        <v>55.7</v>
      </c>
      <c r="Z35" s="18">
        <v>11.427717445451828</v>
      </c>
      <c r="AA35">
        <v>0</v>
      </c>
      <c r="AB35" s="14">
        <v>6373.3</v>
      </c>
      <c r="AC35" s="32">
        <v>0</v>
      </c>
    </row>
    <row r="36" spans="1:29" x14ac:dyDescent="0.3">
      <c r="A36" s="15" t="s">
        <v>42</v>
      </c>
      <c r="B36" s="8">
        <v>2450.6999999999998</v>
      </c>
      <c r="C36" s="10">
        <v>-3.5</v>
      </c>
      <c r="D36" s="11">
        <v>0</v>
      </c>
      <c r="E36" s="5">
        <f t="shared" si="0"/>
        <v>3.999999999999998E-2</v>
      </c>
      <c r="F36" s="16">
        <v>0.3</v>
      </c>
      <c r="G36" s="17">
        <v>50.9</v>
      </c>
      <c r="H36" s="18">
        <v>11.866440067979607</v>
      </c>
      <c r="I36">
        <v>0</v>
      </c>
      <c r="J36" s="14">
        <v>6501.5</v>
      </c>
      <c r="K36" s="32">
        <v>0</v>
      </c>
      <c r="L36" s="28">
        <v>2712.1</v>
      </c>
      <c r="M36" s="10">
        <v>-2.7666666666666671</v>
      </c>
      <c r="N36" s="11">
        <v>0.16666666666666666</v>
      </c>
      <c r="O36" s="16">
        <v>0.26</v>
      </c>
      <c r="P36" s="17">
        <v>55.7</v>
      </c>
      <c r="Q36" s="18">
        <v>11.274268256627575</v>
      </c>
      <c r="R36">
        <v>0</v>
      </c>
      <c r="S36" s="14">
        <v>6489.4</v>
      </c>
      <c r="T36" s="32">
        <v>0</v>
      </c>
      <c r="U36" s="28">
        <v>2550.1</v>
      </c>
      <c r="V36" s="10">
        <v>-2.5333333333333332</v>
      </c>
      <c r="W36" s="11">
        <v>0.66666666666666663</v>
      </c>
      <c r="X36" s="16">
        <v>0.3</v>
      </c>
      <c r="Y36" s="17">
        <v>55.7</v>
      </c>
      <c r="Z36" s="18">
        <v>11.773298276365761</v>
      </c>
      <c r="AA36">
        <v>0</v>
      </c>
      <c r="AB36" s="14">
        <v>6458.9</v>
      </c>
      <c r="AC36" s="32">
        <v>0</v>
      </c>
    </row>
    <row r="37" spans="1:29" x14ac:dyDescent="0.3">
      <c r="A37" s="15" t="s">
        <v>43</v>
      </c>
      <c r="B37" s="8">
        <v>2493.4</v>
      </c>
      <c r="C37" s="10">
        <v>-4.3</v>
      </c>
      <c r="D37" s="11">
        <v>0.20000000000000004</v>
      </c>
      <c r="E37" s="5">
        <f t="shared" si="0"/>
        <v>0</v>
      </c>
      <c r="F37" s="16">
        <v>0.3</v>
      </c>
      <c r="G37" s="17">
        <v>50.9</v>
      </c>
      <c r="H37" s="18">
        <v>10.670149703606953</v>
      </c>
      <c r="I37">
        <v>0</v>
      </c>
      <c r="J37" s="14">
        <v>6513.5</v>
      </c>
      <c r="K37" s="32">
        <v>0</v>
      </c>
      <c r="L37" s="28">
        <v>2450.6999999999998</v>
      </c>
      <c r="M37" s="10">
        <v>-3.5</v>
      </c>
      <c r="N37" s="11">
        <v>0</v>
      </c>
      <c r="O37" s="16">
        <v>0.3</v>
      </c>
      <c r="P37" s="17">
        <v>50.9</v>
      </c>
      <c r="Q37" s="18">
        <v>11.866440067979607</v>
      </c>
      <c r="R37">
        <v>0</v>
      </c>
      <c r="S37" s="14">
        <v>6501.5</v>
      </c>
      <c r="T37" s="32">
        <v>0</v>
      </c>
      <c r="U37" s="28">
        <v>2712.1</v>
      </c>
      <c r="V37" s="10">
        <v>-2.7666666666666671</v>
      </c>
      <c r="W37" s="11">
        <v>0.16666666666666666</v>
      </c>
      <c r="X37" s="16">
        <v>0.26</v>
      </c>
      <c r="Y37" s="17">
        <v>55.7</v>
      </c>
      <c r="Z37" s="18">
        <v>11.274268256627575</v>
      </c>
      <c r="AA37">
        <v>0</v>
      </c>
      <c r="AB37" s="14">
        <v>6489.4</v>
      </c>
      <c r="AC37" s="32">
        <v>0</v>
      </c>
    </row>
    <row r="38" spans="1:29" x14ac:dyDescent="0.3">
      <c r="A38" s="15" t="s">
        <v>44</v>
      </c>
      <c r="B38" s="8">
        <v>2625.5</v>
      </c>
      <c r="C38" s="10">
        <v>-3.9666666666666663</v>
      </c>
      <c r="D38" s="11">
        <v>0.3666666666666667</v>
      </c>
      <c r="E38" s="5">
        <f t="shared" si="0"/>
        <v>-0.13999999999999999</v>
      </c>
      <c r="F38" s="16">
        <v>0.16</v>
      </c>
      <c r="G38" s="17">
        <v>50.9</v>
      </c>
      <c r="H38" s="18">
        <v>10.589541691903898</v>
      </c>
      <c r="I38">
        <v>0</v>
      </c>
      <c r="J38" s="14">
        <v>6583</v>
      </c>
      <c r="K38" s="32">
        <v>0</v>
      </c>
      <c r="L38" s="28">
        <v>2493.4</v>
      </c>
      <c r="M38" s="10">
        <v>-4.3</v>
      </c>
      <c r="N38" s="11">
        <v>0.20000000000000004</v>
      </c>
      <c r="O38" s="16">
        <v>0.3</v>
      </c>
      <c r="P38" s="17">
        <v>50.9</v>
      </c>
      <c r="Q38" s="18">
        <v>10.670149703606953</v>
      </c>
      <c r="R38">
        <v>0</v>
      </c>
      <c r="S38" s="14">
        <v>6513.5</v>
      </c>
      <c r="T38" s="32">
        <v>0</v>
      </c>
      <c r="U38" s="28">
        <v>2450.6999999999998</v>
      </c>
      <c r="V38" s="10">
        <v>-3.5</v>
      </c>
      <c r="W38" s="11">
        <v>0</v>
      </c>
      <c r="X38" s="16">
        <v>0.3</v>
      </c>
      <c r="Y38" s="17">
        <v>50.9</v>
      </c>
      <c r="Z38" s="18">
        <v>11.866440067979607</v>
      </c>
      <c r="AA38">
        <v>0</v>
      </c>
      <c r="AB38" s="14">
        <v>6501.5</v>
      </c>
      <c r="AC38" s="32">
        <v>0</v>
      </c>
    </row>
    <row r="39" spans="1:29" x14ac:dyDescent="0.3">
      <c r="A39" s="15" t="s">
        <v>45</v>
      </c>
      <c r="B39" s="8">
        <v>2816.7</v>
      </c>
      <c r="C39" s="10">
        <v>-5.7333333333333343</v>
      </c>
      <c r="D39" s="11">
        <v>0.6</v>
      </c>
      <c r="E39" s="5">
        <f t="shared" si="0"/>
        <v>-0.08</v>
      </c>
      <c r="F39" s="16">
        <v>0.08</v>
      </c>
      <c r="G39" s="17">
        <v>50.9</v>
      </c>
      <c r="H39" s="18">
        <v>10.246235246235248</v>
      </c>
      <c r="I39">
        <v>0</v>
      </c>
      <c r="J39" s="14">
        <v>6598</v>
      </c>
      <c r="K39" s="32">
        <v>0</v>
      </c>
      <c r="L39" s="28">
        <v>2625.5</v>
      </c>
      <c r="M39" s="10">
        <v>-3.9666666666666663</v>
      </c>
      <c r="N39" s="11">
        <v>0.3666666666666667</v>
      </c>
      <c r="O39" s="16">
        <v>0.16</v>
      </c>
      <c r="P39" s="17">
        <v>50.9</v>
      </c>
      <c r="Q39" s="18">
        <v>10.589541691903898</v>
      </c>
      <c r="R39">
        <v>0</v>
      </c>
      <c r="S39" s="14">
        <v>6583</v>
      </c>
      <c r="T39" s="32">
        <v>0</v>
      </c>
      <c r="U39" s="28">
        <v>2493.4</v>
      </c>
      <c r="V39" s="10">
        <v>-4.3</v>
      </c>
      <c r="W39" s="11">
        <v>0.20000000000000004</v>
      </c>
      <c r="X39" s="16">
        <v>0.3</v>
      </c>
      <c r="Y39" s="17">
        <v>50.9</v>
      </c>
      <c r="Z39" s="18">
        <v>10.670149703606953</v>
      </c>
      <c r="AA39">
        <v>0</v>
      </c>
      <c r="AB39" s="14">
        <v>6513.5</v>
      </c>
      <c r="AC39" s="32">
        <v>0</v>
      </c>
    </row>
    <row r="40" spans="1:29" x14ac:dyDescent="0.3">
      <c r="A40" s="15" t="s">
        <v>46</v>
      </c>
      <c r="B40" s="8">
        <v>2476.5</v>
      </c>
      <c r="C40" s="10">
        <v>-8</v>
      </c>
      <c r="D40" s="11">
        <v>0.6</v>
      </c>
      <c r="E40" s="5">
        <f t="shared" si="0"/>
        <v>-0.03</v>
      </c>
      <c r="F40" s="16">
        <v>0.05</v>
      </c>
      <c r="G40" s="17">
        <v>44.6</v>
      </c>
      <c r="H40" s="18">
        <v>10.217347146049157</v>
      </c>
      <c r="I40">
        <v>0</v>
      </c>
      <c r="J40" s="14">
        <v>6677</v>
      </c>
      <c r="K40" s="32">
        <v>0</v>
      </c>
      <c r="L40" s="28">
        <v>2816.7</v>
      </c>
      <c r="M40" s="10">
        <v>-5.7333333333333343</v>
      </c>
      <c r="N40" s="11">
        <v>0.6</v>
      </c>
      <c r="O40" s="16">
        <v>0.08</v>
      </c>
      <c r="P40" s="17">
        <v>50.9</v>
      </c>
      <c r="Q40" s="18">
        <v>10.246235246235248</v>
      </c>
      <c r="R40">
        <v>0</v>
      </c>
      <c r="S40" s="14">
        <v>6598</v>
      </c>
      <c r="T40" s="32">
        <v>0</v>
      </c>
      <c r="U40" s="28">
        <v>2625.5</v>
      </c>
      <c r="V40" s="10">
        <v>-3.9666666666666663</v>
      </c>
      <c r="W40" s="11">
        <v>0.3666666666666667</v>
      </c>
      <c r="X40" s="16">
        <v>0.16</v>
      </c>
      <c r="Y40" s="17">
        <v>50.9</v>
      </c>
      <c r="Z40" s="18">
        <v>10.589541691903898</v>
      </c>
      <c r="AA40">
        <v>0</v>
      </c>
      <c r="AB40" s="14">
        <v>6583</v>
      </c>
      <c r="AC40" s="32">
        <v>0</v>
      </c>
    </row>
    <row r="41" spans="1:29" x14ac:dyDescent="0.3">
      <c r="A41" s="15" t="s">
        <v>47</v>
      </c>
      <c r="B41" s="8">
        <v>2555.1999999999998</v>
      </c>
      <c r="C41" s="10">
        <v>-6.333333333333333</v>
      </c>
      <c r="D41" s="11">
        <v>0.6</v>
      </c>
      <c r="E41" s="5">
        <f t="shared" si="0"/>
        <v>-6.0000000000000005E-2</v>
      </c>
      <c r="F41" s="16">
        <v>-0.01</v>
      </c>
      <c r="G41" s="17">
        <v>44.6</v>
      </c>
      <c r="H41" s="18">
        <v>9.7558525067818742</v>
      </c>
      <c r="I41">
        <v>0</v>
      </c>
      <c r="J41" s="14">
        <v>6764.1</v>
      </c>
      <c r="K41" s="32">
        <v>0</v>
      </c>
      <c r="L41" s="28">
        <v>2476.5</v>
      </c>
      <c r="M41" s="10">
        <v>-8</v>
      </c>
      <c r="N41" s="11">
        <v>0.6</v>
      </c>
      <c r="O41" s="16">
        <v>0.05</v>
      </c>
      <c r="P41" s="17">
        <v>44.6</v>
      </c>
      <c r="Q41" s="18">
        <v>10.217347146049157</v>
      </c>
      <c r="R41">
        <v>0</v>
      </c>
      <c r="S41" s="14">
        <v>6677</v>
      </c>
      <c r="T41" s="32">
        <v>0</v>
      </c>
      <c r="U41" s="28">
        <v>2816.7</v>
      </c>
      <c r="V41" s="10">
        <v>-5.7333333333333343</v>
      </c>
      <c r="W41" s="11">
        <v>0.6</v>
      </c>
      <c r="X41" s="16">
        <v>0.08</v>
      </c>
      <c r="Y41" s="17">
        <v>50.9</v>
      </c>
      <c r="Z41" s="18">
        <v>10.246235246235248</v>
      </c>
      <c r="AA41">
        <v>0</v>
      </c>
      <c r="AB41" s="14">
        <v>6598</v>
      </c>
      <c r="AC41" s="32">
        <v>0</v>
      </c>
    </row>
    <row r="42" spans="1:29" x14ac:dyDescent="0.3">
      <c r="A42" s="15" t="s">
        <v>48</v>
      </c>
      <c r="B42" s="8">
        <v>2663.4</v>
      </c>
      <c r="C42" s="10">
        <v>-4.9333333333333336</v>
      </c>
      <c r="D42" s="11">
        <v>0.43333333333333335</v>
      </c>
      <c r="E42" s="5">
        <f t="shared" si="0"/>
        <v>-1.9999999999999997E-2</v>
      </c>
      <c r="F42" s="16">
        <v>-0.03</v>
      </c>
      <c r="G42" s="17">
        <v>44.6</v>
      </c>
      <c r="H42" s="18">
        <v>9.7006707378115937</v>
      </c>
      <c r="I42">
        <v>0</v>
      </c>
      <c r="J42" s="14">
        <v>6876.5</v>
      </c>
      <c r="K42" s="32">
        <v>0</v>
      </c>
      <c r="L42" s="28">
        <v>2555.1999999999998</v>
      </c>
      <c r="M42" s="10">
        <v>-6.333333333333333</v>
      </c>
      <c r="N42" s="11">
        <v>0.6</v>
      </c>
      <c r="O42" s="16">
        <v>-0.01</v>
      </c>
      <c r="P42" s="17">
        <v>44.6</v>
      </c>
      <c r="Q42" s="18">
        <v>9.7558525067818742</v>
      </c>
      <c r="R42">
        <v>0</v>
      </c>
      <c r="S42" s="14">
        <v>6764.1</v>
      </c>
      <c r="T42" s="32">
        <v>0</v>
      </c>
      <c r="U42" s="28">
        <v>2476.5</v>
      </c>
      <c r="V42" s="10">
        <v>-8</v>
      </c>
      <c r="W42" s="11">
        <v>0.6</v>
      </c>
      <c r="X42" s="16">
        <v>0.05</v>
      </c>
      <c r="Y42" s="17">
        <v>44.6</v>
      </c>
      <c r="Z42" s="18">
        <v>10.217347146049157</v>
      </c>
      <c r="AA42">
        <v>0</v>
      </c>
      <c r="AB42" s="14">
        <v>6677</v>
      </c>
      <c r="AC42" s="32">
        <v>0</v>
      </c>
    </row>
    <row r="43" spans="1:29" x14ac:dyDescent="0.3">
      <c r="A43" s="15" t="s">
        <v>49</v>
      </c>
      <c r="B43" s="8">
        <v>2809.5</v>
      </c>
      <c r="C43" s="10">
        <v>-6</v>
      </c>
      <c r="D43" s="11">
        <v>0.23333333333333331</v>
      </c>
      <c r="E43" s="5">
        <f t="shared" si="0"/>
        <v>-0.06</v>
      </c>
      <c r="F43" s="16">
        <v>-0.09</v>
      </c>
      <c r="G43" s="17">
        <v>44.6</v>
      </c>
      <c r="H43" s="18">
        <v>9.8286744815148772</v>
      </c>
      <c r="I43">
        <v>0</v>
      </c>
      <c r="J43" s="14">
        <v>6857.9</v>
      </c>
      <c r="K43" s="32">
        <v>0</v>
      </c>
      <c r="L43" s="28">
        <v>2663.4</v>
      </c>
      <c r="M43" s="10">
        <v>-4.9333333333333336</v>
      </c>
      <c r="N43" s="11">
        <v>0.43333333333333335</v>
      </c>
      <c r="O43" s="16">
        <v>-0.03</v>
      </c>
      <c r="P43" s="17">
        <v>44.6</v>
      </c>
      <c r="Q43" s="18">
        <v>9.7006707378115937</v>
      </c>
      <c r="R43">
        <v>0</v>
      </c>
      <c r="S43" s="14">
        <v>6876.5</v>
      </c>
      <c r="T43" s="32">
        <v>0</v>
      </c>
      <c r="U43" s="28">
        <v>2555.1999999999998</v>
      </c>
      <c r="V43" s="10">
        <v>-6.333333333333333</v>
      </c>
      <c r="W43" s="11">
        <v>0.6</v>
      </c>
      <c r="X43" s="16">
        <v>-0.01</v>
      </c>
      <c r="Y43" s="17">
        <v>44.6</v>
      </c>
      <c r="Z43" s="18">
        <v>9.7558525067818742</v>
      </c>
      <c r="AA43">
        <v>0</v>
      </c>
      <c r="AB43" s="14">
        <v>6764.1</v>
      </c>
      <c r="AC43" s="32">
        <v>0</v>
      </c>
    </row>
    <row r="44" spans="1:29" x14ac:dyDescent="0.3">
      <c r="A44" s="15" t="s">
        <v>50</v>
      </c>
      <c r="B44" s="8">
        <v>2391.5</v>
      </c>
      <c r="C44" s="10">
        <v>-6.833333333333333</v>
      </c>
      <c r="D44" s="11">
        <v>0.16666666666666666</v>
      </c>
      <c r="E44" s="5">
        <f t="shared" si="0"/>
        <v>-0.1</v>
      </c>
      <c r="F44" s="16">
        <v>-0.19</v>
      </c>
      <c r="G44" s="17">
        <v>41.4</v>
      </c>
      <c r="H44" s="18">
        <v>10.253305076193358</v>
      </c>
      <c r="I44">
        <v>0</v>
      </c>
      <c r="J44" s="14">
        <v>6931.4</v>
      </c>
      <c r="K44" s="32">
        <v>0</v>
      </c>
      <c r="L44" s="28">
        <v>2809.5</v>
      </c>
      <c r="M44" s="10">
        <v>-6</v>
      </c>
      <c r="N44" s="11">
        <v>0.23333333333333331</v>
      </c>
      <c r="O44" s="16">
        <v>-0.09</v>
      </c>
      <c r="P44" s="17">
        <v>44.6</v>
      </c>
      <c r="Q44" s="18">
        <v>9.8286744815148772</v>
      </c>
      <c r="R44">
        <v>0</v>
      </c>
      <c r="S44" s="14">
        <v>6857.9</v>
      </c>
      <c r="T44" s="32">
        <v>0</v>
      </c>
      <c r="U44" s="28">
        <v>2663.4</v>
      </c>
      <c r="V44" s="10">
        <v>-4.9333333333333336</v>
      </c>
      <c r="W44" s="11">
        <v>0.43333333333333335</v>
      </c>
      <c r="X44" s="16">
        <v>-0.03</v>
      </c>
      <c r="Y44" s="17">
        <v>44.6</v>
      </c>
      <c r="Z44" s="18">
        <v>9.7006707378115937</v>
      </c>
      <c r="AA44">
        <v>0</v>
      </c>
      <c r="AB44" s="14">
        <v>6876.5</v>
      </c>
      <c r="AC44" s="32">
        <v>0</v>
      </c>
    </row>
    <row r="45" spans="1:29" x14ac:dyDescent="0.3">
      <c r="A45" s="15" t="s">
        <v>51</v>
      </c>
      <c r="B45" s="8">
        <v>2569.5</v>
      </c>
      <c r="C45" s="10">
        <v>-3.9333333333333331</v>
      </c>
      <c r="D45" s="11">
        <v>-0.16666666666666666</v>
      </c>
      <c r="E45" s="5">
        <f t="shared" si="0"/>
        <v>-7.0000000000000007E-2</v>
      </c>
      <c r="F45" s="16">
        <v>-0.26</v>
      </c>
      <c r="G45" s="17">
        <v>41.4</v>
      </c>
      <c r="H45" s="18">
        <v>9.5166163141993962</v>
      </c>
      <c r="I45">
        <v>0</v>
      </c>
      <c r="J45" s="14">
        <v>6953.6</v>
      </c>
      <c r="K45" s="32">
        <v>0</v>
      </c>
      <c r="L45" s="28">
        <v>2391.5</v>
      </c>
      <c r="M45" s="10">
        <v>-6.833333333333333</v>
      </c>
      <c r="N45" s="11">
        <v>0.16666666666666666</v>
      </c>
      <c r="O45" s="16">
        <v>-0.19</v>
      </c>
      <c r="P45" s="17">
        <v>41.4</v>
      </c>
      <c r="Q45" s="18">
        <v>10.253305076193358</v>
      </c>
      <c r="R45">
        <v>0</v>
      </c>
      <c r="S45" s="14">
        <v>6931.4</v>
      </c>
      <c r="T45" s="32">
        <v>0</v>
      </c>
      <c r="U45" s="28">
        <v>2809.5</v>
      </c>
      <c r="V45" s="10">
        <v>-6</v>
      </c>
      <c r="W45" s="11">
        <v>0.23333333333333331</v>
      </c>
      <c r="X45" s="16">
        <v>-0.09</v>
      </c>
      <c r="Y45" s="17">
        <v>44.6</v>
      </c>
      <c r="Z45" s="18">
        <v>9.8286744815148772</v>
      </c>
      <c r="AA45">
        <v>0</v>
      </c>
      <c r="AB45" s="14">
        <v>6857.9</v>
      </c>
      <c r="AC45" s="32">
        <v>0</v>
      </c>
    </row>
    <row r="46" spans="1:29" x14ac:dyDescent="0.3">
      <c r="A46" s="15" t="s">
        <v>52</v>
      </c>
      <c r="B46" s="8">
        <v>2678.2</v>
      </c>
      <c r="C46" s="10">
        <v>-3.7333333333333329</v>
      </c>
      <c r="D46" s="11">
        <v>-0.26666666666666666</v>
      </c>
      <c r="E46" s="5">
        <f t="shared" si="0"/>
        <v>-3.999999999999998E-2</v>
      </c>
      <c r="F46" s="16">
        <v>-0.3</v>
      </c>
      <c r="G46" s="17">
        <v>41.4</v>
      </c>
      <c r="H46" s="18">
        <v>9.5411360420456859</v>
      </c>
      <c r="I46">
        <v>0</v>
      </c>
      <c r="J46" s="14">
        <v>6956.9</v>
      </c>
      <c r="K46" s="32">
        <v>0</v>
      </c>
      <c r="L46" s="28">
        <v>2569.5</v>
      </c>
      <c r="M46" s="10">
        <v>-3.9333333333333331</v>
      </c>
      <c r="N46" s="11">
        <v>-0.16666666666666666</v>
      </c>
      <c r="O46" s="16">
        <v>-0.26</v>
      </c>
      <c r="P46" s="17">
        <v>41.4</v>
      </c>
      <c r="Q46" s="18">
        <v>9.5166163141993962</v>
      </c>
      <c r="R46">
        <v>0</v>
      </c>
      <c r="S46" s="14">
        <v>6953.6</v>
      </c>
      <c r="T46" s="32">
        <v>0</v>
      </c>
      <c r="U46" s="28">
        <v>2391.5</v>
      </c>
      <c r="V46" s="10">
        <v>-6.833333333333333</v>
      </c>
      <c r="W46" s="11">
        <v>0.16666666666666666</v>
      </c>
      <c r="X46" s="16">
        <v>-0.19</v>
      </c>
      <c r="Y46" s="17">
        <v>41.4</v>
      </c>
      <c r="Z46" s="18">
        <v>10.253305076193358</v>
      </c>
      <c r="AA46">
        <v>0</v>
      </c>
      <c r="AB46" s="14">
        <v>6931.4</v>
      </c>
      <c r="AC46" s="32">
        <v>0</v>
      </c>
    </row>
    <row r="47" spans="1:29" x14ac:dyDescent="0.3">
      <c r="A47" s="15" t="s">
        <v>53</v>
      </c>
      <c r="B47" s="8">
        <v>2850.8</v>
      </c>
      <c r="C47" s="10">
        <v>-2.1999999999999997</v>
      </c>
      <c r="D47" s="11">
        <v>0</v>
      </c>
      <c r="E47" s="5">
        <f t="shared" si="0"/>
        <v>-1.0000000000000009E-2</v>
      </c>
      <c r="F47" s="16">
        <v>-0.31</v>
      </c>
      <c r="G47" s="17">
        <v>41.4</v>
      </c>
      <c r="H47" s="18">
        <v>9.2539747248267421</v>
      </c>
      <c r="I47">
        <v>0</v>
      </c>
      <c r="J47" s="14">
        <v>7038.3</v>
      </c>
      <c r="K47" s="32">
        <v>0</v>
      </c>
      <c r="L47" s="28">
        <v>2678.2</v>
      </c>
      <c r="M47" s="10">
        <v>-3.7333333333333329</v>
      </c>
      <c r="N47" s="11">
        <v>-0.26666666666666666</v>
      </c>
      <c r="O47" s="16">
        <v>-0.3</v>
      </c>
      <c r="P47" s="17">
        <v>41.4</v>
      </c>
      <c r="Q47" s="18">
        <v>9.5411360420456859</v>
      </c>
      <c r="R47">
        <v>0</v>
      </c>
      <c r="S47" s="14">
        <v>6956.9</v>
      </c>
      <c r="T47" s="32">
        <v>0</v>
      </c>
      <c r="U47" s="28">
        <v>2569.5</v>
      </c>
      <c r="V47" s="10">
        <v>-3.9333333333333331</v>
      </c>
      <c r="W47" s="11">
        <v>-0.16666666666666666</v>
      </c>
      <c r="X47" s="16">
        <v>-0.26</v>
      </c>
      <c r="Y47" s="17">
        <v>41.4</v>
      </c>
      <c r="Z47" s="18">
        <v>9.5166163141993962</v>
      </c>
      <c r="AA47">
        <v>0</v>
      </c>
      <c r="AB47" s="14">
        <v>6953.6</v>
      </c>
      <c r="AC47" s="32">
        <v>0</v>
      </c>
    </row>
    <row r="48" spans="1:29" x14ac:dyDescent="0.3">
      <c r="A48" s="15" t="s">
        <v>54</v>
      </c>
      <c r="B48" s="8">
        <v>2688</v>
      </c>
      <c r="C48" s="10">
        <v>-2.1666666666666665</v>
      </c>
      <c r="D48" s="11">
        <v>0.70000000000000007</v>
      </c>
      <c r="E48" s="5">
        <f t="shared" si="0"/>
        <v>-2.0000000000000018E-2</v>
      </c>
      <c r="F48" s="16">
        <v>-0.33</v>
      </c>
      <c r="G48" s="17">
        <v>40.6</v>
      </c>
      <c r="H48" s="18">
        <v>9.375641815567878</v>
      </c>
      <c r="I48">
        <v>0</v>
      </c>
      <c r="J48" s="14">
        <v>7113.7</v>
      </c>
      <c r="K48" s="32">
        <v>0</v>
      </c>
      <c r="L48" s="28">
        <v>2850.8</v>
      </c>
      <c r="M48" s="10">
        <v>-2.1999999999999997</v>
      </c>
      <c r="N48" s="11">
        <v>0</v>
      </c>
      <c r="O48" s="16">
        <v>-0.31</v>
      </c>
      <c r="P48" s="17">
        <v>41.4</v>
      </c>
      <c r="Q48" s="18">
        <v>9.2539747248267421</v>
      </c>
      <c r="R48">
        <v>0</v>
      </c>
      <c r="S48" s="14">
        <v>7038.3</v>
      </c>
      <c r="T48" s="32">
        <v>0</v>
      </c>
      <c r="U48" s="28">
        <v>2678.2</v>
      </c>
      <c r="V48" s="10">
        <v>-3.7333333333333329</v>
      </c>
      <c r="W48" s="11">
        <v>-0.26666666666666666</v>
      </c>
      <c r="X48" s="16">
        <v>-0.3</v>
      </c>
      <c r="Y48" s="17">
        <v>41.4</v>
      </c>
      <c r="Z48" s="18">
        <v>9.5411360420456859</v>
      </c>
      <c r="AA48">
        <v>0</v>
      </c>
      <c r="AB48" s="14">
        <v>6956.9</v>
      </c>
      <c r="AC48" s="32">
        <v>0</v>
      </c>
    </row>
    <row r="49" spans="1:29" x14ac:dyDescent="0.3">
      <c r="A49" s="15" t="s">
        <v>55</v>
      </c>
      <c r="B49" s="8">
        <v>2752.6</v>
      </c>
      <c r="C49" s="10">
        <v>3.3333333333333326E-2</v>
      </c>
      <c r="D49" s="11">
        <v>1.6000000000000003</v>
      </c>
      <c r="E49" s="5">
        <f t="shared" si="0"/>
        <v>0</v>
      </c>
      <c r="F49" s="16">
        <v>-0.33</v>
      </c>
      <c r="G49" s="17">
        <v>40.6</v>
      </c>
      <c r="H49" s="18">
        <v>8.8520903608300117</v>
      </c>
      <c r="I49">
        <v>0</v>
      </c>
      <c r="J49" s="14">
        <v>7146.2</v>
      </c>
      <c r="K49" s="32">
        <v>0</v>
      </c>
      <c r="L49" s="28">
        <v>2688</v>
      </c>
      <c r="M49" s="10">
        <v>-2.1666666666666665</v>
      </c>
      <c r="N49" s="11">
        <v>0.70000000000000007</v>
      </c>
      <c r="O49" s="16">
        <v>-0.33</v>
      </c>
      <c r="P49" s="17">
        <v>40.6</v>
      </c>
      <c r="Q49" s="18">
        <v>9.375641815567878</v>
      </c>
      <c r="R49">
        <v>0</v>
      </c>
      <c r="S49" s="14">
        <v>7113.7</v>
      </c>
      <c r="T49" s="32">
        <v>0</v>
      </c>
      <c r="U49" s="28">
        <v>2850.8</v>
      </c>
      <c r="V49" s="10">
        <v>-2.1999999999999997</v>
      </c>
      <c r="W49" s="11">
        <v>0</v>
      </c>
      <c r="X49" s="16">
        <v>-0.31</v>
      </c>
      <c r="Y49" s="17">
        <v>41.4</v>
      </c>
      <c r="Z49" s="18">
        <v>9.2539747248267421</v>
      </c>
      <c r="AA49">
        <v>0</v>
      </c>
      <c r="AB49" s="14">
        <v>7038.3</v>
      </c>
      <c r="AC49" s="32">
        <v>0</v>
      </c>
    </row>
    <row r="50" spans="1:29" x14ac:dyDescent="0.3">
      <c r="A50" s="15" t="s">
        <v>56</v>
      </c>
      <c r="B50" s="8">
        <v>2889</v>
      </c>
      <c r="C50" s="10">
        <v>1.0999999999999999</v>
      </c>
      <c r="D50" s="11">
        <v>2.3666666666666667</v>
      </c>
      <c r="E50" s="5">
        <f t="shared" si="0"/>
        <v>0</v>
      </c>
      <c r="F50" s="16">
        <v>-0.33</v>
      </c>
      <c r="G50" s="17">
        <v>40.6</v>
      </c>
      <c r="H50" s="18">
        <v>8.5207700101317112</v>
      </c>
      <c r="I50">
        <v>0</v>
      </c>
      <c r="J50" s="14">
        <v>7217.9</v>
      </c>
      <c r="K50" s="32">
        <v>0</v>
      </c>
      <c r="L50" s="28">
        <v>2752.6</v>
      </c>
      <c r="M50" s="10">
        <v>3.3333333333333326E-2</v>
      </c>
      <c r="N50" s="11">
        <v>1.6000000000000003</v>
      </c>
      <c r="O50" s="16">
        <v>-0.33</v>
      </c>
      <c r="P50" s="17">
        <v>40.6</v>
      </c>
      <c r="Q50" s="18">
        <v>8.8520903608300117</v>
      </c>
      <c r="R50">
        <v>0</v>
      </c>
      <c r="S50" s="14">
        <v>7146.2</v>
      </c>
      <c r="T50" s="32">
        <v>0</v>
      </c>
      <c r="U50" s="28">
        <v>2688</v>
      </c>
      <c r="V50" s="10">
        <v>-2.1666666666666665</v>
      </c>
      <c r="W50" s="11">
        <v>0.70000000000000007</v>
      </c>
      <c r="X50" s="16">
        <v>-0.33</v>
      </c>
      <c r="Y50" s="17">
        <v>40.6</v>
      </c>
      <c r="Z50" s="18">
        <v>9.375641815567878</v>
      </c>
      <c r="AA50">
        <v>0</v>
      </c>
      <c r="AB50" s="14">
        <v>7113.7</v>
      </c>
      <c r="AC50" s="32">
        <v>0</v>
      </c>
    </row>
    <row r="51" spans="1:29" x14ac:dyDescent="0.3">
      <c r="A51" s="15" t="s">
        <v>57</v>
      </c>
      <c r="B51" s="8">
        <v>3157.1</v>
      </c>
      <c r="C51" s="10">
        <v>2.2333333333333334</v>
      </c>
      <c r="D51" s="11">
        <v>2.8666666666666667</v>
      </c>
      <c r="E51" s="5">
        <f t="shared" si="0"/>
        <v>0</v>
      </c>
      <c r="F51" s="16">
        <v>-0.33</v>
      </c>
      <c r="G51" s="17">
        <v>40.6</v>
      </c>
      <c r="H51" s="18">
        <v>8.1169161829106837</v>
      </c>
      <c r="I51">
        <v>0</v>
      </c>
      <c r="J51" s="14">
        <v>7275.2</v>
      </c>
      <c r="K51" s="32">
        <v>0</v>
      </c>
      <c r="L51" s="28">
        <v>2889</v>
      </c>
      <c r="M51" s="10">
        <v>1.0999999999999999</v>
      </c>
      <c r="N51" s="11">
        <v>2.3666666666666667</v>
      </c>
      <c r="O51" s="16">
        <v>-0.33</v>
      </c>
      <c r="P51" s="17">
        <v>40.6</v>
      </c>
      <c r="Q51" s="18">
        <v>8.5207700101317112</v>
      </c>
      <c r="R51">
        <v>0</v>
      </c>
      <c r="S51" s="14">
        <v>7217.9</v>
      </c>
      <c r="T51" s="32">
        <v>0</v>
      </c>
      <c r="U51" s="28">
        <v>2752.6</v>
      </c>
      <c r="V51" s="10">
        <v>3.3333333333333326E-2</v>
      </c>
      <c r="W51" s="11">
        <v>1.6000000000000003</v>
      </c>
      <c r="X51" s="16">
        <v>-0.33</v>
      </c>
      <c r="Y51" s="17">
        <v>40.6</v>
      </c>
      <c r="Z51" s="18">
        <v>8.8520903608300117</v>
      </c>
      <c r="AA51">
        <v>0</v>
      </c>
      <c r="AB51" s="14">
        <v>7146.2</v>
      </c>
      <c r="AC51" s="32">
        <v>0</v>
      </c>
    </row>
    <row r="52" spans="1:29" x14ac:dyDescent="0.3">
      <c r="A52" s="15" t="s">
        <v>58</v>
      </c>
      <c r="B52" s="8">
        <v>2906</v>
      </c>
      <c r="C52" s="10">
        <v>0.6333333333333333</v>
      </c>
      <c r="D52" s="11">
        <v>2.6999999999999997</v>
      </c>
      <c r="E52" s="5">
        <f t="shared" si="0"/>
        <v>0</v>
      </c>
      <c r="F52" s="16">
        <v>-0.33</v>
      </c>
      <c r="G52" s="17">
        <v>36.6</v>
      </c>
      <c r="H52" s="18">
        <v>8.1799591002044991</v>
      </c>
      <c r="I52">
        <v>0</v>
      </c>
      <c r="J52" s="14">
        <v>7362.8</v>
      </c>
      <c r="K52" s="32">
        <v>0</v>
      </c>
      <c r="L52" s="28">
        <v>3157.1</v>
      </c>
      <c r="M52" s="10">
        <v>2.2333333333333334</v>
      </c>
      <c r="N52" s="11">
        <v>2.8666666666666667</v>
      </c>
      <c r="O52" s="16">
        <v>-0.33</v>
      </c>
      <c r="P52" s="17">
        <v>40.6</v>
      </c>
      <c r="Q52" s="18">
        <v>8.1169161829106837</v>
      </c>
      <c r="R52">
        <v>0</v>
      </c>
      <c r="S52" s="14">
        <v>7275.2</v>
      </c>
      <c r="T52" s="32">
        <v>0</v>
      </c>
      <c r="U52" s="28">
        <v>2889</v>
      </c>
      <c r="V52" s="10">
        <v>1.0999999999999999</v>
      </c>
      <c r="W52" s="11">
        <v>2.3666666666666667</v>
      </c>
      <c r="X52" s="16">
        <v>-0.33</v>
      </c>
      <c r="Y52" s="17">
        <v>40.6</v>
      </c>
      <c r="Z52" s="18">
        <v>8.5207700101317112</v>
      </c>
      <c r="AA52">
        <v>0</v>
      </c>
      <c r="AB52" s="14">
        <v>7217.9</v>
      </c>
      <c r="AC52" s="32">
        <v>0</v>
      </c>
    </row>
    <row r="53" spans="1:29" x14ac:dyDescent="0.3">
      <c r="A53" s="15" t="s">
        <v>59</v>
      </c>
      <c r="B53" s="8">
        <v>3090.4</v>
      </c>
      <c r="C53" s="10">
        <v>0.79999999999999993</v>
      </c>
      <c r="D53" s="11">
        <v>2.5</v>
      </c>
      <c r="E53" s="5">
        <f t="shared" si="0"/>
        <v>0</v>
      </c>
      <c r="F53" s="16">
        <v>-0.33</v>
      </c>
      <c r="G53" s="17">
        <v>36.6</v>
      </c>
      <c r="H53" s="18">
        <v>7.654822335025381</v>
      </c>
      <c r="I53">
        <v>0</v>
      </c>
      <c r="J53" s="14">
        <v>7469.3</v>
      </c>
      <c r="K53" s="32">
        <v>0</v>
      </c>
      <c r="L53" s="28">
        <v>2906</v>
      </c>
      <c r="M53" s="10">
        <v>0.6333333333333333</v>
      </c>
      <c r="N53" s="11">
        <v>2.6999999999999997</v>
      </c>
      <c r="O53" s="16">
        <v>-0.33</v>
      </c>
      <c r="P53" s="17">
        <v>36.6</v>
      </c>
      <c r="Q53" s="18">
        <v>8.1799591002044991</v>
      </c>
      <c r="R53">
        <v>0</v>
      </c>
      <c r="S53" s="14">
        <v>7362.8</v>
      </c>
      <c r="T53" s="32">
        <v>0</v>
      </c>
      <c r="U53" s="28">
        <v>3157.1</v>
      </c>
      <c r="V53" s="10">
        <v>2.2333333333333334</v>
      </c>
      <c r="W53" s="11">
        <v>2.8666666666666667</v>
      </c>
      <c r="X53" s="16">
        <v>-0.33</v>
      </c>
      <c r="Y53" s="17">
        <v>40.6</v>
      </c>
      <c r="Z53" s="18">
        <v>8.1169161829106837</v>
      </c>
      <c r="AA53">
        <v>0</v>
      </c>
      <c r="AB53" s="14">
        <v>7275.2</v>
      </c>
      <c r="AC53" s="32">
        <v>0</v>
      </c>
    </row>
    <row r="54" spans="1:29" x14ac:dyDescent="0.3">
      <c r="A54" s="15" t="s">
        <v>60</v>
      </c>
      <c r="B54" s="8">
        <v>3057.9</v>
      </c>
      <c r="C54" s="10">
        <v>2.3000000000000003</v>
      </c>
      <c r="D54" s="11">
        <v>2.4666666666666668</v>
      </c>
      <c r="E54" s="5">
        <f t="shared" si="0"/>
        <v>1.0000000000000009E-2</v>
      </c>
      <c r="F54" s="16">
        <v>-0.32</v>
      </c>
      <c r="G54" s="17">
        <v>36.6</v>
      </c>
      <c r="H54" s="18">
        <v>6.9579288025889969</v>
      </c>
      <c r="I54">
        <v>0</v>
      </c>
      <c r="J54" s="14">
        <v>7515.2</v>
      </c>
      <c r="K54" s="32">
        <v>0</v>
      </c>
      <c r="L54" s="28">
        <v>3090.4</v>
      </c>
      <c r="M54" s="10">
        <v>0.79999999999999993</v>
      </c>
      <c r="N54" s="11">
        <v>2.5</v>
      </c>
      <c r="O54" s="16">
        <v>-0.33</v>
      </c>
      <c r="P54" s="17">
        <v>36.6</v>
      </c>
      <c r="Q54" s="18">
        <v>7.654822335025381</v>
      </c>
      <c r="R54">
        <v>0</v>
      </c>
      <c r="S54" s="14">
        <v>7469.3</v>
      </c>
      <c r="T54" s="32">
        <v>0</v>
      </c>
      <c r="U54" s="28">
        <v>2906</v>
      </c>
      <c r="V54" s="10">
        <v>0.6333333333333333</v>
      </c>
      <c r="W54" s="11">
        <v>2.6999999999999997</v>
      </c>
      <c r="X54" s="16">
        <v>-0.33</v>
      </c>
      <c r="Y54" s="17">
        <v>36.6</v>
      </c>
      <c r="Z54" s="18">
        <v>8.1799591002044991</v>
      </c>
      <c r="AA54">
        <v>0</v>
      </c>
      <c r="AB54" s="14">
        <v>7362.8</v>
      </c>
      <c r="AC54" s="32">
        <v>0</v>
      </c>
    </row>
    <row r="55" spans="1:29" x14ac:dyDescent="0.3">
      <c r="A55" s="15" t="s">
        <v>61</v>
      </c>
      <c r="B55" s="8">
        <v>3351.2</v>
      </c>
      <c r="C55" s="10">
        <v>2.3666666666666667</v>
      </c>
      <c r="D55" s="11">
        <v>2.5333333333333332</v>
      </c>
      <c r="E55" s="5">
        <f t="shared" si="0"/>
        <v>0</v>
      </c>
      <c r="F55" s="16">
        <v>-0.32</v>
      </c>
      <c r="G55" s="17">
        <v>36.6</v>
      </c>
      <c r="H55" s="18">
        <v>6.8686661889650935</v>
      </c>
      <c r="I55">
        <v>0</v>
      </c>
      <c r="J55" s="14">
        <v>7582.5</v>
      </c>
      <c r="K55" s="32">
        <v>0</v>
      </c>
      <c r="L55" s="28">
        <v>3057.9</v>
      </c>
      <c r="M55" s="10">
        <v>2.3000000000000003</v>
      </c>
      <c r="N55" s="11">
        <v>2.4666666666666668</v>
      </c>
      <c r="O55" s="16">
        <v>-0.32</v>
      </c>
      <c r="P55" s="17">
        <v>36.6</v>
      </c>
      <c r="Q55" s="18">
        <v>6.9579288025889969</v>
      </c>
      <c r="R55">
        <v>0</v>
      </c>
      <c r="S55" s="14">
        <v>7515.2</v>
      </c>
      <c r="T55" s="32">
        <v>0</v>
      </c>
      <c r="U55" s="28">
        <v>3090.4</v>
      </c>
      <c r="V55" s="10">
        <v>0.79999999999999993</v>
      </c>
      <c r="W55" s="11">
        <v>2.5</v>
      </c>
      <c r="X55" s="16">
        <v>-0.33</v>
      </c>
      <c r="Y55" s="17">
        <v>36.6</v>
      </c>
      <c r="Z55" s="18">
        <v>7.654822335025381</v>
      </c>
      <c r="AA55">
        <v>0</v>
      </c>
      <c r="AB55" s="14">
        <v>7469.3</v>
      </c>
      <c r="AC55" s="32">
        <v>0</v>
      </c>
    </row>
    <row r="56" spans="1:29" x14ac:dyDescent="0.3">
      <c r="A56" s="15" t="s">
        <v>62</v>
      </c>
      <c r="B56" s="8">
        <v>3112.1</v>
      </c>
      <c r="C56" s="10">
        <v>-0.6</v>
      </c>
      <c r="D56" s="11">
        <v>2.6666666666666665</v>
      </c>
      <c r="E56" s="5">
        <f t="shared" si="0"/>
        <v>1.0000000000000009E-2</v>
      </c>
      <c r="F56" s="16">
        <v>-0.31</v>
      </c>
      <c r="G56" s="17">
        <v>29.4</v>
      </c>
      <c r="H56" s="18">
        <v>6.8926437255306006</v>
      </c>
      <c r="I56">
        <v>0</v>
      </c>
      <c r="J56" s="14">
        <v>7570.8</v>
      </c>
      <c r="K56" s="32">
        <v>0</v>
      </c>
      <c r="L56" s="28">
        <v>3351.2</v>
      </c>
      <c r="M56" s="10">
        <v>2.3666666666666667</v>
      </c>
      <c r="N56" s="11">
        <v>2.5333333333333332</v>
      </c>
      <c r="O56" s="16">
        <v>-0.32</v>
      </c>
      <c r="P56" s="17">
        <v>36.6</v>
      </c>
      <c r="Q56" s="18">
        <v>6.8686661889650935</v>
      </c>
      <c r="R56">
        <v>0</v>
      </c>
      <c r="S56" s="14">
        <v>7582.5</v>
      </c>
      <c r="T56" s="32">
        <v>0</v>
      </c>
      <c r="U56" s="28">
        <v>3057.9</v>
      </c>
      <c r="V56" s="10">
        <v>2.3000000000000003</v>
      </c>
      <c r="W56" s="11">
        <v>2.4666666666666668</v>
      </c>
      <c r="X56" s="16">
        <v>-0.32</v>
      </c>
      <c r="Y56" s="17">
        <v>36.6</v>
      </c>
      <c r="Z56" s="18">
        <v>6.9579288025889969</v>
      </c>
      <c r="AA56">
        <v>0</v>
      </c>
      <c r="AB56" s="14">
        <v>7515.2</v>
      </c>
      <c r="AC56" s="32">
        <v>0</v>
      </c>
    </row>
    <row r="57" spans="1:29" x14ac:dyDescent="0.3">
      <c r="A57" s="15" t="s">
        <v>63</v>
      </c>
      <c r="B57" s="8">
        <v>3158.2</v>
      </c>
      <c r="C57" s="10">
        <v>-2.0333333333333332</v>
      </c>
      <c r="D57" s="11">
        <v>2.9333333333333336</v>
      </c>
      <c r="E57" s="5">
        <f t="shared" si="0"/>
        <v>-1.0000000000000009E-2</v>
      </c>
      <c r="F57" s="16">
        <v>-0.32</v>
      </c>
      <c r="G57" s="17">
        <v>29.4</v>
      </c>
      <c r="H57" s="18">
        <v>6.359218281460036</v>
      </c>
      <c r="I57">
        <v>0</v>
      </c>
      <c r="J57" s="14">
        <v>7551</v>
      </c>
      <c r="K57" s="32">
        <v>0</v>
      </c>
      <c r="L57" s="28">
        <v>3112.1</v>
      </c>
      <c r="M57" s="10">
        <v>-0.6</v>
      </c>
      <c r="N57" s="11">
        <v>2.6666666666666665</v>
      </c>
      <c r="O57" s="16">
        <v>-0.31</v>
      </c>
      <c r="P57" s="17">
        <v>29.4</v>
      </c>
      <c r="Q57" s="18">
        <v>6.8926437255306006</v>
      </c>
      <c r="R57">
        <v>0</v>
      </c>
      <c r="S57" s="14">
        <v>7570.8</v>
      </c>
      <c r="T57" s="32">
        <v>0</v>
      </c>
      <c r="U57" s="28">
        <v>3351.2</v>
      </c>
      <c r="V57" s="10">
        <v>2.3666666666666667</v>
      </c>
      <c r="W57" s="11">
        <v>2.5333333333333332</v>
      </c>
      <c r="X57" s="16">
        <v>-0.32</v>
      </c>
      <c r="Y57" s="17">
        <v>36.6</v>
      </c>
      <c r="Z57" s="18">
        <v>6.8686661889650935</v>
      </c>
      <c r="AA57">
        <v>0</v>
      </c>
      <c r="AB57" s="14">
        <v>7582.5</v>
      </c>
      <c r="AC57" s="32">
        <v>0</v>
      </c>
    </row>
    <row r="58" spans="1:29" x14ac:dyDescent="0.3">
      <c r="A58" s="15" t="s">
        <v>64</v>
      </c>
      <c r="B58" s="8">
        <v>3298.5</v>
      </c>
      <c r="C58" s="10">
        <v>-1.9333333333333333</v>
      </c>
      <c r="D58" s="11">
        <v>2.9666666666666668</v>
      </c>
      <c r="E58" s="5">
        <f t="shared" si="0"/>
        <v>-8.0000000000000016E-2</v>
      </c>
      <c r="F58" s="16">
        <v>-0.4</v>
      </c>
      <c r="G58" s="17">
        <v>29.4</v>
      </c>
      <c r="H58" s="18">
        <v>6.0305109040647071</v>
      </c>
      <c r="I58">
        <v>0</v>
      </c>
      <c r="J58" s="14">
        <v>7586.2</v>
      </c>
      <c r="K58" s="32">
        <v>0</v>
      </c>
      <c r="L58" s="28">
        <v>3158.2</v>
      </c>
      <c r="M58" s="10">
        <v>-2.0333333333333332</v>
      </c>
      <c r="N58" s="11">
        <v>2.9333333333333336</v>
      </c>
      <c r="O58" s="16">
        <v>-0.32</v>
      </c>
      <c r="P58" s="17">
        <v>29.4</v>
      </c>
      <c r="Q58" s="18">
        <v>6.359218281460036</v>
      </c>
      <c r="R58">
        <v>0</v>
      </c>
      <c r="S58" s="14">
        <v>7551</v>
      </c>
      <c r="T58" s="32">
        <v>0</v>
      </c>
      <c r="U58" s="28">
        <v>3112.1</v>
      </c>
      <c r="V58" s="10">
        <v>-0.6</v>
      </c>
      <c r="W58" s="11">
        <v>2.6666666666666665</v>
      </c>
      <c r="X58" s="16">
        <v>-0.31</v>
      </c>
      <c r="Y58" s="17">
        <v>29.4</v>
      </c>
      <c r="Z58" s="18">
        <v>6.8926437255306006</v>
      </c>
      <c r="AA58">
        <v>0</v>
      </c>
      <c r="AB58" s="14">
        <v>7570.8</v>
      </c>
      <c r="AC58" s="32">
        <v>0</v>
      </c>
    </row>
    <row r="59" spans="1:29" x14ac:dyDescent="0.3">
      <c r="A59" s="15" t="s">
        <v>65</v>
      </c>
      <c r="B59" s="8">
        <v>3385.3</v>
      </c>
      <c r="C59" s="10">
        <v>-2.2000000000000002</v>
      </c>
      <c r="D59" s="11">
        <v>2.7999999999999994</v>
      </c>
      <c r="E59" s="5">
        <f t="shared" si="0"/>
        <v>0</v>
      </c>
      <c r="F59" s="16">
        <v>-0.4</v>
      </c>
      <c r="G59" s="17">
        <v>29.4</v>
      </c>
      <c r="H59" s="18">
        <v>5.9629248197734288</v>
      </c>
      <c r="I59">
        <v>0</v>
      </c>
      <c r="J59" s="14">
        <v>7535.5</v>
      </c>
      <c r="K59" s="32">
        <v>1</v>
      </c>
      <c r="L59" s="28">
        <v>3298.5</v>
      </c>
      <c r="M59" s="10">
        <v>-1.9333333333333333</v>
      </c>
      <c r="N59" s="11">
        <v>2.9666666666666668</v>
      </c>
      <c r="O59" s="16">
        <v>-0.4</v>
      </c>
      <c r="P59" s="17">
        <v>29.4</v>
      </c>
      <c r="Q59" s="18">
        <v>6.0305109040647071</v>
      </c>
      <c r="R59">
        <v>0</v>
      </c>
      <c r="S59" s="14">
        <v>7586.2</v>
      </c>
      <c r="T59" s="32">
        <v>0</v>
      </c>
      <c r="U59" s="28">
        <v>3158.2</v>
      </c>
      <c r="V59" s="10">
        <v>-2.0333333333333332</v>
      </c>
      <c r="W59" s="11">
        <v>2.9333333333333336</v>
      </c>
      <c r="X59" s="16">
        <v>-0.32</v>
      </c>
      <c r="Y59" s="17">
        <v>29.4</v>
      </c>
      <c r="Z59" s="18">
        <v>6.359218281460036</v>
      </c>
      <c r="AA59">
        <v>0</v>
      </c>
      <c r="AB59" s="14">
        <v>7551</v>
      </c>
      <c r="AC59" s="32">
        <v>0</v>
      </c>
    </row>
    <row r="60" spans="1:29" x14ac:dyDescent="0.3">
      <c r="A60" s="15" t="s">
        <v>66</v>
      </c>
      <c r="B60" s="8">
        <v>3266.4</v>
      </c>
      <c r="C60" s="10">
        <v>-0.69999999999999984</v>
      </c>
      <c r="D60" s="11">
        <v>2.6</v>
      </c>
      <c r="E60" s="5">
        <f t="shared" si="0"/>
        <v>-9.9999999999999534E-3</v>
      </c>
      <c r="F60" s="16">
        <v>-0.41</v>
      </c>
      <c r="G60" s="17">
        <v>29.2</v>
      </c>
      <c r="H60" s="18">
        <v>7.6142652182824344</v>
      </c>
      <c r="I60">
        <v>23.386254879999999</v>
      </c>
      <c r="J60" s="14">
        <v>7503.3</v>
      </c>
      <c r="K60" s="32">
        <v>1</v>
      </c>
      <c r="L60" s="28">
        <v>3385.3</v>
      </c>
      <c r="M60" s="10">
        <v>-2.2000000000000002</v>
      </c>
      <c r="N60" s="11">
        <v>2.7999999999999994</v>
      </c>
      <c r="O60" s="16">
        <v>-0.4</v>
      </c>
      <c r="P60" s="17">
        <v>29.4</v>
      </c>
      <c r="Q60" s="18">
        <v>5.9629248197734288</v>
      </c>
      <c r="R60">
        <v>0</v>
      </c>
      <c r="S60" s="14">
        <v>7535.5</v>
      </c>
      <c r="T60" s="32">
        <v>1</v>
      </c>
      <c r="U60" s="28">
        <v>3298.5</v>
      </c>
      <c r="V60" s="10">
        <v>-1.9333333333333333</v>
      </c>
      <c r="W60" s="11">
        <v>2.9666666666666668</v>
      </c>
      <c r="X60" s="16">
        <v>-0.4</v>
      </c>
      <c r="Y60" s="17">
        <v>29.4</v>
      </c>
      <c r="Z60" s="18">
        <v>6.0305109040647071</v>
      </c>
      <c r="AA60">
        <v>0</v>
      </c>
      <c r="AB60" s="14">
        <v>7586.2</v>
      </c>
      <c r="AC60" s="32">
        <v>0</v>
      </c>
    </row>
    <row r="61" spans="1:29" x14ac:dyDescent="0.3">
      <c r="A61" s="15" t="s">
        <v>67</v>
      </c>
      <c r="B61" s="8">
        <v>2842.5</v>
      </c>
      <c r="C61" s="10">
        <v>-17.066666666666666</v>
      </c>
      <c r="D61" s="11">
        <v>1.8666666666666665</v>
      </c>
      <c r="E61" s="5">
        <f t="shared" si="0"/>
        <v>0.10999999999999999</v>
      </c>
      <c r="F61" s="16">
        <v>-0.3</v>
      </c>
      <c r="G61" s="17">
        <v>29.2</v>
      </c>
      <c r="H61" s="18">
        <v>8.5588355883558833</v>
      </c>
      <c r="I61">
        <v>72.150476600000005</v>
      </c>
      <c r="J61" s="14">
        <v>6767.9</v>
      </c>
      <c r="K61" s="32">
        <v>1</v>
      </c>
      <c r="L61" s="28">
        <v>3266.4</v>
      </c>
      <c r="M61" s="10">
        <v>-0.69999999999999984</v>
      </c>
      <c r="N61" s="11">
        <v>2.6</v>
      </c>
      <c r="O61" s="16">
        <v>-0.41</v>
      </c>
      <c r="P61" s="17">
        <v>29.2</v>
      </c>
      <c r="Q61" s="18">
        <v>7.6142652182824344</v>
      </c>
      <c r="R61">
        <v>23.386254879999999</v>
      </c>
      <c r="S61" s="14">
        <v>7503.3</v>
      </c>
      <c r="T61" s="32">
        <v>1</v>
      </c>
      <c r="U61" s="28">
        <v>3385.3</v>
      </c>
      <c r="V61" s="10">
        <v>-2.2000000000000002</v>
      </c>
      <c r="W61" s="11">
        <v>2.7999999999999994</v>
      </c>
      <c r="X61" s="16">
        <v>-0.4</v>
      </c>
      <c r="Y61" s="17">
        <v>29.4</v>
      </c>
      <c r="Z61" s="18">
        <v>5.9629248197734288</v>
      </c>
      <c r="AA61">
        <v>0</v>
      </c>
      <c r="AB61" s="14">
        <v>7535.5</v>
      </c>
      <c r="AC61" s="32">
        <v>1</v>
      </c>
    </row>
    <row r="62" spans="1:29" x14ac:dyDescent="0.3">
      <c r="A62" s="15" t="s">
        <v>68</v>
      </c>
      <c r="B62" s="8">
        <v>3452.8</v>
      </c>
      <c r="C62" s="10">
        <v>-4.0666666666666664</v>
      </c>
      <c r="D62" s="11">
        <v>1</v>
      </c>
      <c r="E62" s="5">
        <f t="shared" si="0"/>
        <v>-0.16999999999999998</v>
      </c>
      <c r="F62" s="16">
        <v>-0.47</v>
      </c>
      <c r="G62" s="17">
        <v>29.2</v>
      </c>
      <c r="H62" s="18">
        <v>8.3555738041469922</v>
      </c>
      <c r="I62">
        <v>54.148122800000003</v>
      </c>
      <c r="J62" s="14">
        <v>7480.3</v>
      </c>
      <c r="K62" s="32">
        <v>0</v>
      </c>
      <c r="L62" s="28">
        <v>2842.5</v>
      </c>
      <c r="M62" s="10">
        <v>-17.066666666666666</v>
      </c>
      <c r="N62" s="11">
        <v>1.8666666666666665</v>
      </c>
      <c r="O62" s="16">
        <v>-0.3</v>
      </c>
      <c r="P62" s="17">
        <v>29.2</v>
      </c>
      <c r="Q62" s="18">
        <v>8.5588355883558833</v>
      </c>
      <c r="R62">
        <v>72.150476600000005</v>
      </c>
      <c r="S62" s="14">
        <v>6767.9</v>
      </c>
      <c r="T62" s="32">
        <v>1</v>
      </c>
      <c r="U62" s="28">
        <v>3266.4</v>
      </c>
      <c r="V62" s="10">
        <v>-0.69999999999999984</v>
      </c>
      <c r="W62" s="11">
        <v>2.6</v>
      </c>
      <c r="X62" s="16">
        <v>-0.41</v>
      </c>
      <c r="Y62" s="17">
        <v>29.2</v>
      </c>
      <c r="Z62" s="18">
        <v>7.6142652182824344</v>
      </c>
      <c r="AA62">
        <v>23.386254879999999</v>
      </c>
      <c r="AB62" s="14">
        <v>7503.3</v>
      </c>
      <c r="AC62" s="32">
        <v>1</v>
      </c>
    </row>
    <row r="63" spans="1:29" x14ac:dyDescent="0.3">
      <c r="A63" s="15" t="s">
        <v>69</v>
      </c>
      <c r="B63" s="8">
        <v>3742.7</v>
      </c>
      <c r="C63" s="10">
        <v>-3.8666666666666667</v>
      </c>
      <c r="D63" s="11">
        <v>0.3</v>
      </c>
      <c r="E63" s="5">
        <f t="shared" si="0"/>
        <v>-5.0000000000000044E-2</v>
      </c>
      <c r="F63" s="16">
        <v>-0.52</v>
      </c>
      <c r="G63" s="17">
        <v>29.2</v>
      </c>
      <c r="H63" s="18">
        <v>7.8659868900218495</v>
      </c>
      <c r="I63">
        <v>66.706931119999993</v>
      </c>
      <c r="J63" s="14">
        <v>7514.5</v>
      </c>
      <c r="K63" s="32">
        <v>0</v>
      </c>
      <c r="L63" s="28">
        <v>3452.8</v>
      </c>
      <c r="M63" s="10">
        <v>-4.0666666666666664</v>
      </c>
      <c r="N63" s="11">
        <v>1</v>
      </c>
      <c r="O63" s="16">
        <v>-0.47</v>
      </c>
      <c r="P63" s="17">
        <v>29.2</v>
      </c>
      <c r="Q63" s="18">
        <v>8.3555738041469922</v>
      </c>
      <c r="R63">
        <v>54.148122800000003</v>
      </c>
      <c r="S63" s="14">
        <v>7480.3</v>
      </c>
      <c r="T63" s="32">
        <v>0</v>
      </c>
      <c r="U63" s="28">
        <v>2842.5</v>
      </c>
      <c r="V63" s="10">
        <v>-17.066666666666666</v>
      </c>
      <c r="W63" s="11">
        <v>1.8666666666666665</v>
      </c>
      <c r="X63" s="16">
        <v>-0.3</v>
      </c>
      <c r="Y63" s="17">
        <v>29.2</v>
      </c>
      <c r="Z63" s="18">
        <v>8.5588355883558833</v>
      </c>
      <c r="AA63">
        <v>72.150476600000005</v>
      </c>
      <c r="AB63" s="14">
        <v>6767.9</v>
      </c>
      <c r="AC63" s="32">
        <v>1</v>
      </c>
    </row>
    <row r="64" spans="1:29" x14ac:dyDescent="0.3">
      <c r="A64" s="15" t="s">
        <v>70</v>
      </c>
      <c r="B64" s="8">
        <v>3526.2</v>
      </c>
      <c r="C64" s="10">
        <v>-6.1333333333333329</v>
      </c>
      <c r="D64" s="11">
        <v>-0.26666666666666666</v>
      </c>
      <c r="E64" s="5">
        <f t="shared" si="0"/>
        <v>-2.0000000000000018E-2</v>
      </c>
      <c r="F64" s="16">
        <v>-0.54</v>
      </c>
      <c r="G64" s="17">
        <v>25.8</v>
      </c>
      <c r="H64" s="18">
        <v>8.0504364694471384</v>
      </c>
      <c r="I64">
        <v>74.106267930000001</v>
      </c>
      <c r="J64" s="14">
        <v>7529.5</v>
      </c>
      <c r="K64" s="32">
        <v>0</v>
      </c>
      <c r="L64" s="28">
        <v>3742.7</v>
      </c>
      <c r="M64" s="10">
        <v>-3.8666666666666667</v>
      </c>
      <c r="N64" s="11">
        <v>0.3</v>
      </c>
      <c r="O64" s="16">
        <v>-0.52</v>
      </c>
      <c r="P64" s="17">
        <v>29.2</v>
      </c>
      <c r="Q64" s="18">
        <v>7.8659868900218495</v>
      </c>
      <c r="R64">
        <v>66.706931119999993</v>
      </c>
      <c r="S64" s="14">
        <v>7514.5</v>
      </c>
      <c r="T64" s="32">
        <v>0</v>
      </c>
      <c r="U64" s="28">
        <v>3452.8</v>
      </c>
      <c r="V64" s="10">
        <v>-4.0666666666666664</v>
      </c>
      <c r="W64" s="11">
        <v>1</v>
      </c>
      <c r="X64" s="16">
        <v>-0.47</v>
      </c>
      <c r="Y64" s="17">
        <v>29.2</v>
      </c>
      <c r="Z64" s="18">
        <v>8.3555738041469922</v>
      </c>
      <c r="AA64">
        <v>54.148122800000003</v>
      </c>
      <c r="AB64" s="14">
        <v>7480.3</v>
      </c>
      <c r="AC64" s="32">
        <v>0</v>
      </c>
    </row>
    <row r="65" spans="1:29" x14ac:dyDescent="0.3">
      <c r="A65" s="15" t="s">
        <v>71</v>
      </c>
      <c r="B65" s="8">
        <v>3776</v>
      </c>
      <c r="C65" s="10">
        <v>1.6333333333333331</v>
      </c>
      <c r="D65" s="11">
        <v>0</v>
      </c>
      <c r="E65" s="5">
        <f t="shared" si="0"/>
        <v>0</v>
      </c>
      <c r="F65" s="16">
        <v>-0.54</v>
      </c>
      <c r="G65" s="17">
        <v>25.8</v>
      </c>
      <c r="H65" s="18">
        <v>7.8494278686771475</v>
      </c>
      <c r="I65">
        <v>67.044883850000005</v>
      </c>
      <c r="J65" s="14">
        <v>7604.8</v>
      </c>
      <c r="K65" s="32">
        <v>0</v>
      </c>
      <c r="L65" s="28">
        <v>3526.2</v>
      </c>
      <c r="M65" s="10">
        <v>-6.1333333333333329</v>
      </c>
      <c r="N65" s="11">
        <v>-0.26666666666666666</v>
      </c>
      <c r="O65" s="16">
        <v>-0.54</v>
      </c>
      <c r="P65" s="17">
        <v>25.8</v>
      </c>
      <c r="Q65" s="18">
        <v>8.0504364694471384</v>
      </c>
      <c r="R65">
        <v>74.106267930000001</v>
      </c>
      <c r="S65" s="14">
        <v>7529.5</v>
      </c>
      <c r="T65" s="32">
        <v>0</v>
      </c>
      <c r="U65" s="28">
        <v>3742.7</v>
      </c>
      <c r="V65" s="10">
        <v>-3.8666666666666667</v>
      </c>
      <c r="W65" s="11">
        <v>0.3</v>
      </c>
      <c r="X65" s="16">
        <v>-0.52</v>
      </c>
      <c r="Y65" s="17">
        <v>29.2</v>
      </c>
      <c r="Z65" s="18">
        <v>7.8659868900218495</v>
      </c>
      <c r="AA65">
        <v>66.706931119999993</v>
      </c>
      <c r="AB65" s="14">
        <v>7514.5</v>
      </c>
      <c r="AC65" s="32">
        <v>0</v>
      </c>
    </row>
    <row r="66" spans="1:29" x14ac:dyDescent="0.3">
      <c r="A66" s="15" t="s">
        <v>72</v>
      </c>
      <c r="B66" s="8">
        <v>4388.7</v>
      </c>
      <c r="C66" s="10">
        <v>1.8333333333333333</v>
      </c>
      <c r="D66" s="11">
        <v>0.93333333333333324</v>
      </c>
      <c r="E66" s="5">
        <f t="shared" si="0"/>
        <v>-1.0000000000000009E-2</v>
      </c>
      <c r="F66" s="16">
        <v>-0.55000000000000004</v>
      </c>
      <c r="G66" s="17">
        <v>25.8</v>
      </c>
      <c r="H66" s="18">
        <v>7.1867061812023723</v>
      </c>
      <c r="I66">
        <v>48.842639079999998</v>
      </c>
      <c r="J66" s="14">
        <v>8047.1</v>
      </c>
      <c r="K66" s="32">
        <v>0</v>
      </c>
      <c r="L66" s="28">
        <v>3776</v>
      </c>
      <c r="M66" s="10">
        <v>1.6333333333333331</v>
      </c>
      <c r="N66" s="11">
        <v>0</v>
      </c>
      <c r="O66" s="16">
        <v>-0.54</v>
      </c>
      <c r="P66" s="17">
        <v>25.8</v>
      </c>
      <c r="Q66" s="18">
        <v>7.8494278686771475</v>
      </c>
      <c r="R66">
        <v>67.044883850000005</v>
      </c>
      <c r="S66" s="14">
        <v>7604.8</v>
      </c>
      <c r="T66" s="32">
        <v>0</v>
      </c>
      <c r="U66" s="28">
        <v>3526.2</v>
      </c>
      <c r="V66" s="10">
        <v>-6.1333333333333329</v>
      </c>
      <c r="W66" s="11">
        <v>-0.26666666666666666</v>
      </c>
      <c r="X66" s="16">
        <v>-0.54</v>
      </c>
      <c r="Y66" s="17">
        <v>25.8</v>
      </c>
      <c r="Z66" s="18">
        <v>8.0504364694471384</v>
      </c>
      <c r="AA66">
        <v>74.106267930000001</v>
      </c>
      <c r="AB66" s="14">
        <v>7529.5</v>
      </c>
      <c r="AC66" s="32">
        <v>0</v>
      </c>
    </row>
    <row r="67" spans="1:29" x14ac:dyDescent="0.3">
      <c r="A67" s="15" t="s">
        <v>73</v>
      </c>
      <c r="B67" s="8">
        <v>4761.5</v>
      </c>
      <c r="C67" s="10">
        <v>-0.73333333333333339</v>
      </c>
      <c r="D67" s="11">
        <v>2.5333333333333337</v>
      </c>
      <c r="E67" s="5">
        <f t="shared" si="0"/>
        <v>-1.9999999999999907E-2</v>
      </c>
      <c r="F67" s="16">
        <v>-0.56999999999999995</v>
      </c>
      <c r="G67" s="17">
        <v>25.8</v>
      </c>
      <c r="H67" s="18">
        <v>7.1451595573224447</v>
      </c>
      <c r="I67">
        <v>43.05785556</v>
      </c>
      <c r="J67" s="14">
        <v>8040.2</v>
      </c>
      <c r="K67" s="32">
        <v>1</v>
      </c>
      <c r="L67" s="28">
        <v>4388.7</v>
      </c>
      <c r="M67" s="10">
        <v>1.8333333333333333</v>
      </c>
      <c r="N67" s="11">
        <v>0.93333333333333324</v>
      </c>
      <c r="O67" s="16">
        <v>-0.55000000000000004</v>
      </c>
      <c r="P67" s="17">
        <v>25.8</v>
      </c>
      <c r="Q67" s="18">
        <v>7.1867061812023723</v>
      </c>
      <c r="R67">
        <v>48.842639079999998</v>
      </c>
      <c r="S67" s="14">
        <v>8047.1</v>
      </c>
      <c r="T67" s="32">
        <v>0</v>
      </c>
      <c r="U67" s="28">
        <v>3776</v>
      </c>
      <c r="V67" s="10">
        <v>1.6333333333333331</v>
      </c>
      <c r="W67" s="11">
        <v>0</v>
      </c>
      <c r="X67" s="16">
        <v>-0.54</v>
      </c>
      <c r="Y67" s="17">
        <v>25.8</v>
      </c>
      <c r="Z67" s="18">
        <v>7.8494278686771475</v>
      </c>
      <c r="AA67">
        <v>67.044883850000005</v>
      </c>
      <c r="AB67" s="14">
        <v>7604.8</v>
      </c>
      <c r="AC67" s="32">
        <v>0</v>
      </c>
    </row>
    <row r="68" spans="1:29" x14ac:dyDescent="0.3">
      <c r="A68" s="15" t="s">
        <v>74</v>
      </c>
      <c r="B68" s="8">
        <v>4886.7</v>
      </c>
      <c r="C68" s="10">
        <v>-1.2666666666666666</v>
      </c>
      <c r="D68" s="11">
        <v>4.7</v>
      </c>
      <c r="E68" s="5">
        <f t="shared" ref="E68:E83" si="1">F68-F67</f>
        <v>3.9999999999999925E-2</v>
      </c>
      <c r="F68" s="16">
        <v>-0.53</v>
      </c>
      <c r="G68" s="17">
        <v>27.1</v>
      </c>
      <c r="H68" s="18">
        <v>7.254881041288809</v>
      </c>
      <c r="I68">
        <v>40.564510310000003</v>
      </c>
      <c r="J68" s="14">
        <v>8010.4</v>
      </c>
      <c r="K68" s="32">
        <v>1</v>
      </c>
      <c r="L68" s="28">
        <v>4761.5</v>
      </c>
      <c r="M68" s="10">
        <v>-0.73333333333333339</v>
      </c>
      <c r="N68" s="11">
        <v>2.5333333333333337</v>
      </c>
      <c r="O68" s="16">
        <v>-0.56999999999999995</v>
      </c>
      <c r="P68" s="17">
        <v>25.8</v>
      </c>
      <c r="Q68" s="18">
        <v>7.1451595573224447</v>
      </c>
      <c r="R68">
        <v>43.05785556</v>
      </c>
      <c r="S68" s="14">
        <v>8040.2</v>
      </c>
      <c r="T68" s="32">
        <v>1</v>
      </c>
      <c r="U68" s="28">
        <v>4388.7</v>
      </c>
      <c r="V68" s="10">
        <v>1.8333333333333333</v>
      </c>
      <c r="W68" s="11">
        <v>0.93333333333333324</v>
      </c>
      <c r="X68" s="16">
        <v>-0.55000000000000004</v>
      </c>
      <c r="Y68" s="17">
        <v>25.8</v>
      </c>
      <c r="Z68" s="18">
        <v>7.1867061812023723</v>
      </c>
      <c r="AA68">
        <v>48.842639079999998</v>
      </c>
      <c r="AB68" s="14">
        <v>8047.1</v>
      </c>
      <c r="AC68" s="32">
        <v>0</v>
      </c>
    </row>
    <row r="69" spans="1:29" x14ac:dyDescent="0.3">
      <c r="A69" s="15" t="s">
        <v>75</v>
      </c>
      <c r="B69" s="8">
        <v>5191.8</v>
      </c>
      <c r="C69" s="10">
        <v>-3.5</v>
      </c>
      <c r="D69" s="11">
        <v>7.7666666666666657</v>
      </c>
      <c r="E69" s="5">
        <f t="shared" si="1"/>
        <v>0.17000000000000004</v>
      </c>
      <c r="F69" s="16">
        <v>-0.36</v>
      </c>
      <c r="G69" s="17">
        <v>27.1</v>
      </c>
      <c r="H69" s="18">
        <v>6.6244725738396628</v>
      </c>
      <c r="I69">
        <v>22.351230640000001</v>
      </c>
      <c r="J69" s="14">
        <v>7987.7</v>
      </c>
      <c r="K69" s="32">
        <v>1</v>
      </c>
      <c r="L69" s="28">
        <v>4886.7</v>
      </c>
      <c r="M69" s="10">
        <v>-1.2666666666666666</v>
      </c>
      <c r="N69" s="11">
        <v>4.7</v>
      </c>
      <c r="O69" s="16">
        <v>-0.53</v>
      </c>
      <c r="P69" s="17">
        <v>27.1</v>
      </c>
      <c r="Q69" s="18">
        <v>7.254881041288809</v>
      </c>
      <c r="R69">
        <v>40.564510310000003</v>
      </c>
      <c r="S69" s="14">
        <v>8010.4</v>
      </c>
      <c r="T69" s="32">
        <v>1</v>
      </c>
      <c r="U69" s="28">
        <v>4761.5</v>
      </c>
      <c r="V69" s="10">
        <v>-0.73333333333333339</v>
      </c>
      <c r="W69" s="11">
        <v>2.5333333333333337</v>
      </c>
      <c r="X69" s="16">
        <v>-0.56999999999999995</v>
      </c>
      <c r="Y69" s="17">
        <v>25.8</v>
      </c>
      <c r="Z69" s="18">
        <v>7.1451595573224447</v>
      </c>
      <c r="AA69">
        <v>43.05785556</v>
      </c>
      <c r="AB69" s="14">
        <v>8040.2</v>
      </c>
      <c r="AC69" s="32">
        <v>1</v>
      </c>
    </row>
    <row r="70" spans="1:29" x14ac:dyDescent="0.3">
      <c r="A70" s="15" t="s">
        <v>76</v>
      </c>
      <c r="B70" s="8">
        <v>5692.3</v>
      </c>
      <c r="C70" s="10">
        <v>-5.3</v>
      </c>
      <c r="D70" s="11">
        <v>12.199999999999998</v>
      </c>
      <c r="E70" s="5">
        <f t="shared" si="1"/>
        <v>0.84</v>
      </c>
      <c r="F70" s="16">
        <v>0.48</v>
      </c>
      <c r="G70" s="17">
        <v>27.1</v>
      </c>
      <c r="H70" s="18">
        <v>6.8744176415778044</v>
      </c>
      <c r="I70">
        <v>16.2093709</v>
      </c>
      <c r="J70" s="14">
        <v>7982.9</v>
      </c>
      <c r="K70" s="32">
        <v>1</v>
      </c>
      <c r="L70" s="28">
        <v>5191.8</v>
      </c>
      <c r="M70" s="10">
        <v>-3.5</v>
      </c>
      <c r="N70" s="11">
        <v>7.7666666666666657</v>
      </c>
      <c r="O70" s="16">
        <v>-0.36</v>
      </c>
      <c r="P70" s="17">
        <v>27.1</v>
      </c>
      <c r="Q70" s="18">
        <v>6.6244725738396628</v>
      </c>
      <c r="R70">
        <v>22.351230640000001</v>
      </c>
      <c r="S70" s="14">
        <v>7987.7</v>
      </c>
      <c r="T70" s="32">
        <v>1</v>
      </c>
      <c r="U70" s="28">
        <v>4886.7</v>
      </c>
      <c r="V70" s="10">
        <v>-1.2666666666666666</v>
      </c>
      <c r="W70" s="11">
        <v>4.7</v>
      </c>
      <c r="X70" s="16">
        <v>-0.53</v>
      </c>
      <c r="Y70" s="17">
        <v>27.1</v>
      </c>
      <c r="Z70" s="18">
        <v>7.254881041288809</v>
      </c>
      <c r="AA70">
        <v>40.564510310000003</v>
      </c>
      <c r="AB70" s="14">
        <v>8010.4</v>
      </c>
      <c r="AC70" s="32">
        <v>1</v>
      </c>
    </row>
    <row r="71" spans="1:29" x14ac:dyDescent="0.3">
      <c r="A71" s="15" t="s">
        <v>77</v>
      </c>
      <c r="B71" s="8">
        <v>5563.7</v>
      </c>
      <c r="C71" s="10">
        <v>-8.8666666666666671</v>
      </c>
      <c r="D71" s="11">
        <v>16.133333333333333</v>
      </c>
      <c r="E71" s="5">
        <f t="shared" si="1"/>
        <v>1.29</v>
      </c>
      <c r="F71" s="16">
        <v>1.77</v>
      </c>
      <c r="G71" s="17">
        <v>27.1</v>
      </c>
      <c r="H71" s="18">
        <v>6.6554868462425327</v>
      </c>
      <c r="I71">
        <v>15.284275729999999</v>
      </c>
      <c r="J71" s="14">
        <v>7994.7</v>
      </c>
      <c r="K71" s="32">
        <v>0</v>
      </c>
      <c r="L71" s="28">
        <v>5692.3</v>
      </c>
      <c r="M71" s="10">
        <v>-5.3</v>
      </c>
      <c r="N71" s="11">
        <v>12.199999999999998</v>
      </c>
      <c r="O71" s="16">
        <v>0.48</v>
      </c>
      <c r="P71" s="17">
        <v>27.1</v>
      </c>
      <c r="Q71" s="18">
        <v>6.8744176415778044</v>
      </c>
      <c r="R71">
        <v>16.2093709</v>
      </c>
      <c r="S71" s="14">
        <v>7982.9</v>
      </c>
      <c r="T71" s="32">
        <v>1</v>
      </c>
      <c r="U71" s="28">
        <v>5191.8</v>
      </c>
      <c r="V71" s="10">
        <v>-3.5</v>
      </c>
      <c r="W71" s="11">
        <v>7.7666666666666657</v>
      </c>
      <c r="X71" s="16">
        <v>-0.36</v>
      </c>
      <c r="Y71" s="17">
        <v>27.1</v>
      </c>
      <c r="Z71" s="18">
        <v>6.6244725738396628</v>
      </c>
      <c r="AA71">
        <v>22.351230640000001</v>
      </c>
      <c r="AB71" s="14">
        <v>7987.7</v>
      </c>
      <c r="AC71" s="32">
        <v>1</v>
      </c>
    </row>
    <row r="72" spans="1:29" x14ac:dyDescent="0.3">
      <c r="A72" s="23" t="s">
        <v>79</v>
      </c>
      <c r="B72" s="8">
        <v>5122.5</v>
      </c>
      <c r="C72" s="10">
        <v>-7.666666666666667</v>
      </c>
      <c r="D72" s="11">
        <v>19.133333333333336</v>
      </c>
      <c r="E72" s="5">
        <f t="shared" si="1"/>
        <v>0.86595384615384674</v>
      </c>
      <c r="F72" s="24">
        <v>2.6359538461538468</v>
      </c>
      <c r="G72" s="23">
        <v>28.4</v>
      </c>
      <c r="H72" s="13">
        <v>6.3603488619442663</v>
      </c>
      <c r="I72">
        <v>13.373741259999999</v>
      </c>
      <c r="J72" s="14">
        <v>8001.6</v>
      </c>
      <c r="K72" s="32">
        <v>0</v>
      </c>
      <c r="L72" s="28">
        <v>5563.7</v>
      </c>
      <c r="M72" s="10">
        <v>-8.8666666666666671</v>
      </c>
      <c r="N72" s="11">
        <v>16.133333333333333</v>
      </c>
      <c r="O72" s="16">
        <v>1.77</v>
      </c>
      <c r="P72" s="17">
        <v>27.1</v>
      </c>
      <c r="Q72" s="18">
        <v>6.6554868462425327</v>
      </c>
      <c r="R72">
        <v>15.284275729999999</v>
      </c>
      <c r="S72" s="14">
        <v>7994.7</v>
      </c>
      <c r="T72" s="32">
        <v>0</v>
      </c>
      <c r="U72" s="28">
        <v>5692.3</v>
      </c>
      <c r="V72" s="10">
        <v>-5.3</v>
      </c>
      <c r="W72" s="11">
        <v>12.199999999999998</v>
      </c>
      <c r="X72" s="16">
        <v>0.48</v>
      </c>
      <c r="Y72" s="17">
        <v>27.1</v>
      </c>
      <c r="Z72" s="18">
        <v>6.8744176415778044</v>
      </c>
      <c r="AA72">
        <v>16.2093709</v>
      </c>
      <c r="AB72" s="14">
        <v>7982.9</v>
      </c>
      <c r="AC72" s="32">
        <v>1</v>
      </c>
    </row>
    <row r="73" spans="1:29" x14ac:dyDescent="0.3">
      <c r="A73" s="23" t="s">
        <v>80</v>
      </c>
      <c r="B73" s="8">
        <v>4625.1000000000004</v>
      </c>
      <c r="C73" s="10">
        <v>-8.0333333333333332</v>
      </c>
      <c r="D73" s="11">
        <v>19.166666666666668</v>
      </c>
      <c r="E73" s="5">
        <f t="shared" si="1"/>
        <v>0.73819131513647651</v>
      </c>
      <c r="F73" s="24">
        <v>3.3741451612903233</v>
      </c>
      <c r="G73" s="23">
        <v>28.4</v>
      </c>
      <c r="H73" s="13">
        <v>6.3910567390845818</v>
      </c>
      <c r="I73">
        <v>11.463206789999999</v>
      </c>
      <c r="J73" s="14">
        <v>7905.8</v>
      </c>
      <c r="K73" s="32">
        <v>1</v>
      </c>
      <c r="L73" s="28">
        <v>5122.5</v>
      </c>
      <c r="M73" s="10">
        <v>-7.666666666666667</v>
      </c>
      <c r="N73" s="11">
        <v>19.133333333333336</v>
      </c>
      <c r="O73" s="24">
        <v>2.6359538461538468</v>
      </c>
      <c r="P73" s="23">
        <v>28.4</v>
      </c>
      <c r="Q73" s="13">
        <v>6.3603488619442663</v>
      </c>
      <c r="R73">
        <v>13.373741259999999</v>
      </c>
      <c r="S73" s="14">
        <v>8001.6</v>
      </c>
      <c r="T73" s="32">
        <v>0</v>
      </c>
      <c r="U73" s="28">
        <v>5563.7</v>
      </c>
      <c r="V73" s="10">
        <v>-8.8666666666666671</v>
      </c>
      <c r="W73" s="11">
        <v>16.133333333333333</v>
      </c>
      <c r="X73" s="16">
        <v>1.77</v>
      </c>
      <c r="Y73" s="17">
        <v>27.1</v>
      </c>
      <c r="Z73" s="18">
        <v>6.6554868462425327</v>
      </c>
      <c r="AA73">
        <v>15.284275729999999</v>
      </c>
      <c r="AB73" s="14">
        <v>7994.7</v>
      </c>
      <c r="AC73" s="32">
        <v>0</v>
      </c>
    </row>
    <row r="74" spans="1:29" x14ac:dyDescent="0.3">
      <c r="A74" s="23" t="s">
        <v>81</v>
      </c>
      <c r="B74" s="8">
        <v>4414.8999999999996</v>
      </c>
      <c r="C74" s="10">
        <v>-7.5</v>
      </c>
      <c r="D74" s="11">
        <v>15.533333333333333</v>
      </c>
      <c r="E74" s="5">
        <f t="shared" si="1"/>
        <v>0.40333176178660013</v>
      </c>
      <c r="F74" s="24">
        <v>3.7774769230769234</v>
      </c>
      <c r="G74" s="23">
        <v>28.4</v>
      </c>
      <c r="H74" s="13">
        <v>6.4573708525829483</v>
      </c>
      <c r="I74">
        <v>9.5526723199999992</v>
      </c>
      <c r="J74" s="14">
        <v>7882.7</v>
      </c>
      <c r="K74" s="32">
        <v>1</v>
      </c>
      <c r="L74" s="28">
        <v>4625.1000000000004</v>
      </c>
      <c r="M74" s="10">
        <v>-8.0333333333333332</v>
      </c>
      <c r="N74" s="11">
        <v>19.166666666666668</v>
      </c>
      <c r="O74" s="24">
        <v>3.3741451612903233</v>
      </c>
      <c r="P74" s="23">
        <v>28.4</v>
      </c>
      <c r="Q74" s="13">
        <v>6.3910567390845818</v>
      </c>
      <c r="R74">
        <v>11.463206789999999</v>
      </c>
      <c r="S74" s="14">
        <v>7905.8</v>
      </c>
      <c r="T74" s="32">
        <v>1</v>
      </c>
      <c r="U74" s="28">
        <v>5122.5</v>
      </c>
      <c r="V74" s="10">
        <v>-7.666666666666667</v>
      </c>
      <c r="W74" s="11">
        <v>19.133333333333336</v>
      </c>
      <c r="X74" s="24">
        <v>2.6359538461538468</v>
      </c>
      <c r="Y74" s="23">
        <v>28.4</v>
      </c>
      <c r="Z74" s="13">
        <v>6.3603488619442663</v>
      </c>
      <c r="AA74">
        <v>13.373741259999999</v>
      </c>
      <c r="AB74" s="14">
        <v>8001.6</v>
      </c>
      <c r="AC74" s="32">
        <v>0</v>
      </c>
    </row>
    <row r="75" spans="1:29" x14ac:dyDescent="0.3">
      <c r="A75" s="23" t="s">
        <v>82</v>
      </c>
      <c r="B75" s="8">
        <v>4833.7</v>
      </c>
      <c r="C75" s="10">
        <v>-8.8666666666666671</v>
      </c>
      <c r="D75" s="11">
        <v>10.733333333333334</v>
      </c>
      <c r="E75" s="5">
        <f t="shared" si="1"/>
        <v>0.18168180708180603</v>
      </c>
      <c r="F75" s="24">
        <v>3.9591587301587294</v>
      </c>
      <c r="G75" s="23">
        <v>28.4</v>
      </c>
      <c r="H75" s="13">
        <v>6.8160101921647733</v>
      </c>
      <c r="I75">
        <v>7.6421378499999992</v>
      </c>
      <c r="J75" s="14">
        <v>7835.6</v>
      </c>
      <c r="K75" s="32">
        <v>1</v>
      </c>
      <c r="L75" s="28">
        <v>4414.8999999999996</v>
      </c>
      <c r="M75" s="10">
        <v>-7.5</v>
      </c>
      <c r="N75" s="11">
        <v>15.533333333333333</v>
      </c>
      <c r="O75" s="24">
        <v>3.7774769230769234</v>
      </c>
      <c r="P75" s="23">
        <v>28.4</v>
      </c>
      <c r="Q75" s="13">
        <v>6.4573708525829483</v>
      </c>
      <c r="R75">
        <v>9.5526723199999992</v>
      </c>
      <c r="S75" s="14">
        <v>7882.7</v>
      </c>
      <c r="T75" s="32">
        <v>1</v>
      </c>
      <c r="U75" s="28">
        <v>4625.1000000000004</v>
      </c>
      <c r="V75" s="10">
        <v>-8.0333333333333332</v>
      </c>
      <c r="W75" s="11">
        <v>19.166666666666668</v>
      </c>
      <c r="X75" s="24">
        <v>3.3741451612903233</v>
      </c>
      <c r="Y75" s="23">
        <v>28.4</v>
      </c>
      <c r="Z75" s="13">
        <v>6.3910567390845818</v>
      </c>
      <c r="AA75">
        <v>11.463206789999999</v>
      </c>
      <c r="AB75" s="14">
        <v>7905.8</v>
      </c>
      <c r="AC75" s="32">
        <v>1</v>
      </c>
    </row>
    <row r="76" spans="1:29" x14ac:dyDescent="0.3">
      <c r="A76" s="23" t="s">
        <v>83</v>
      </c>
      <c r="B76" s="8">
        <v>4810.5</v>
      </c>
      <c r="C76" s="10">
        <v>-6.5333333333333341</v>
      </c>
      <c r="D76" s="11">
        <v>6.0333333333333341</v>
      </c>
      <c r="E76" s="5">
        <f t="shared" si="1"/>
        <v>-3.5269841269840896E-2</v>
      </c>
      <c r="F76" s="24">
        <v>3.9238888888888885</v>
      </c>
      <c r="G76" s="23">
        <v>26.7</v>
      </c>
      <c r="H76" s="13">
        <v>7.2422517394054395</v>
      </c>
      <c r="I76">
        <f>I75-I74+I75</f>
        <v>5.7316033799999992</v>
      </c>
      <c r="J76" s="14">
        <v>7836.4</v>
      </c>
      <c r="K76" s="32">
        <v>0</v>
      </c>
      <c r="L76" s="28">
        <v>4833.7</v>
      </c>
      <c r="M76" s="10">
        <v>-8.8666666666666671</v>
      </c>
      <c r="N76" s="11">
        <v>10.733333333333334</v>
      </c>
      <c r="O76" s="24">
        <v>3.9591587301587294</v>
      </c>
      <c r="P76" s="23">
        <v>28.4</v>
      </c>
      <c r="Q76" s="13">
        <v>6.8160101921647733</v>
      </c>
      <c r="R76">
        <v>7.6421378499999992</v>
      </c>
      <c r="S76" s="14">
        <v>7835.6</v>
      </c>
      <c r="T76" s="32">
        <v>1</v>
      </c>
      <c r="U76" s="28">
        <v>4414.8999999999996</v>
      </c>
      <c r="V76" s="10">
        <v>-7.5</v>
      </c>
      <c r="W76" s="11">
        <v>15.533333333333333</v>
      </c>
      <c r="X76" s="24">
        <v>3.7774769230769234</v>
      </c>
      <c r="Y76" s="23">
        <v>28.4</v>
      </c>
      <c r="Z76" s="13">
        <v>6.4573708525829483</v>
      </c>
      <c r="AA76">
        <v>9.5526723199999992</v>
      </c>
      <c r="AB76" s="14">
        <v>7882.7</v>
      </c>
      <c r="AC76" s="32">
        <v>1</v>
      </c>
    </row>
    <row r="77" spans="1:29" x14ac:dyDescent="0.3">
      <c r="A77" s="23" t="s">
        <v>84</v>
      </c>
      <c r="B77" s="8">
        <v>4541.3999999999996</v>
      </c>
      <c r="C77" s="10">
        <v>-6.6333333333333329</v>
      </c>
      <c r="D77" s="11">
        <v>2.7666666666666671</v>
      </c>
      <c r="E77" s="5">
        <f t="shared" si="1"/>
        <v>-0.11498412698412697</v>
      </c>
      <c r="F77" s="24">
        <v>3.8089047619047616</v>
      </c>
      <c r="G77" s="23">
        <v>26.7</v>
      </c>
      <c r="H77" s="13">
        <v>6.9394642480489335</v>
      </c>
      <c r="I77">
        <f>I76-I75+I76</f>
        <v>3.8210689099999993</v>
      </c>
      <c r="J77" s="14">
        <v>7881.1</v>
      </c>
      <c r="K77" s="32">
        <v>0</v>
      </c>
      <c r="L77" s="28">
        <v>4810.5</v>
      </c>
      <c r="M77" s="10">
        <v>-6.5333333333333341</v>
      </c>
      <c r="N77" s="11">
        <v>6.0333333333333341</v>
      </c>
      <c r="O77" s="24">
        <v>3.9238888888888885</v>
      </c>
      <c r="P77" s="23">
        <v>26.7</v>
      </c>
      <c r="Q77" s="13">
        <v>7.2422517394054395</v>
      </c>
      <c r="R77">
        <f>R76-R75+R76</f>
        <v>5.7316033799999992</v>
      </c>
      <c r="S77" s="14">
        <v>7836.4</v>
      </c>
      <c r="T77" s="32">
        <v>0</v>
      </c>
      <c r="U77" s="28">
        <v>4833.7</v>
      </c>
      <c r="V77" s="10">
        <v>-8.8666666666666671</v>
      </c>
      <c r="W77" s="11">
        <v>10.733333333333334</v>
      </c>
      <c r="X77" s="24">
        <v>3.9591587301587294</v>
      </c>
      <c r="Y77" s="23">
        <v>28.4</v>
      </c>
      <c r="Z77" s="13">
        <v>6.8160101921647733</v>
      </c>
      <c r="AA77">
        <v>7.6421378499999992</v>
      </c>
      <c r="AB77" s="14">
        <v>7835.6</v>
      </c>
      <c r="AC77" s="32">
        <v>1</v>
      </c>
    </row>
    <row r="78" spans="1:29" x14ac:dyDescent="0.3">
      <c r="A78" s="23" t="s">
        <v>85</v>
      </c>
      <c r="B78" s="8">
        <v>4600.8</v>
      </c>
      <c r="C78" s="10">
        <v>-7.9666666666666677</v>
      </c>
      <c r="D78" s="11">
        <v>1.3</v>
      </c>
      <c r="E78" s="5">
        <f t="shared" si="1"/>
        <v>-0.24972294372294312</v>
      </c>
      <c r="F78" s="24">
        <v>3.5591818181818184</v>
      </c>
      <c r="G78" s="23">
        <v>26.7</v>
      </c>
      <c r="H78" s="13">
        <v>6.6800975506308982</v>
      </c>
      <c r="I78">
        <f>I77-I76+I77</f>
        <v>1.9105344399999993</v>
      </c>
      <c r="J78" s="14">
        <v>7898</v>
      </c>
      <c r="K78" s="32">
        <v>0</v>
      </c>
      <c r="L78" s="28">
        <v>4541.3999999999996</v>
      </c>
      <c r="M78" s="10">
        <v>-6.6333333333333329</v>
      </c>
      <c r="N78" s="11">
        <v>2.7666666666666671</v>
      </c>
      <c r="O78" s="24">
        <v>3.8089047619047616</v>
      </c>
      <c r="P78" s="23">
        <v>26.7</v>
      </c>
      <c r="Q78" s="13">
        <v>6.9394642480489335</v>
      </c>
      <c r="R78">
        <f>R77-R76+R77</f>
        <v>3.8210689099999993</v>
      </c>
      <c r="S78" s="14">
        <v>7881.1</v>
      </c>
      <c r="T78" s="32">
        <v>0</v>
      </c>
      <c r="U78" s="28">
        <v>4810.5</v>
      </c>
      <c r="V78" s="10">
        <v>-6.5333333333333341</v>
      </c>
      <c r="W78" s="11">
        <v>6.0333333333333341</v>
      </c>
      <c r="X78" s="24">
        <v>3.9238888888888885</v>
      </c>
      <c r="Y78" s="23">
        <v>26.7</v>
      </c>
      <c r="Z78" s="13">
        <v>7.2422517394054395</v>
      </c>
      <c r="AA78">
        <f>AA77-AA76+AA77</f>
        <v>5.7316033799999992</v>
      </c>
      <c r="AB78" s="14">
        <v>7836.4</v>
      </c>
      <c r="AC78" s="32">
        <v>0</v>
      </c>
    </row>
    <row r="79" spans="1:29" x14ac:dyDescent="0.3">
      <c r="A79" s="23" t="s">
        <v>86</v>
      </c>
      <c r="B79" s="8">
        <v>4887</v>
      </c>
      <c r="C79" s="10">
        <v>-5.666666666666667</v>
      </c>
      <c r="D79" s="11">
        <v>1.1333333333333335</v>
      </c>
      <c r="E79" s="5">
        <f t="shared" si="1"/>
        <v>-0.55190056818181743</v>
      </c>
      <c r="F79" s="24">
        <v>3.007281250000001</v>
      </c>
      <c r="G79" s="23">
        <v>26.7</v>
      </c>
      <c r="H79" s="13">
        <v>6.8528464017185815</v>
      </c>
      <c r="I79">
        <v>0</v>
      </c>
      <c r="J79" s="14">
        <v>7927.2</v>
      </c>
      <c r="K79" s="32">
        <v>0</v>
      </c>
      <c r="L79" s="28">
        <v>4600.8</v>
      </c>
      <c r="M79" s="10">
        <v>-7.9666666666666677</v>
      </c>
      <c r="N79" s="11">
        <v>1.3</v>
      </c>
      <c r="O79" s="24">
        <v>3.5591818181818184</v>
      </c>
      <c r="P79" s="23">
        <v>26.7</v>
      </c>
      <c r="Q79" s="13">
        <v>6.6800975506308982</v>
      </c>
      <c r="R79">
        <f>R78-R77+R78</f>
        <v>1.9105344399999993</v>
      </c>
      <c r="S79" s="14">
        <v>7898</v>
      </c>
      <c r="T79" s="32">
        <v>0</v>
      </c>
      <c r="U79" s="28">
        <v>4541.3999999999996</v>
      </c>
      <c r="V79" s="10">
        <v>-6.6333333333333329</v>
      </c>
      <c r="W79" s="11">
        <v>2.7666666666666671</v>
      </c>
      <c r="X79" s="24">
        <v>3.8089047619047616</v>
      </c>
      <c r="Y79" s="23">
        <v>26.7</v>
      </c>
      <c r="Z79" s="13">
        <v>6.9394642480489335</v>
      </c>
      <c r="AA79">
        <f>AA78-AA77+AA78</f>
        <v>3.8210689099999993</v>
      </c>
      <c r="AB79" s="14">
        <v>7881.1</v>
      </c>
      <c r="AC79" s="32">
        <v>0</v>
      </c>
    </row>
    <row r="80" spans="1:29" x14ac:dyDescent="0.3">
      <c r="A80" s="23" t="s">
        <v>87</v>
      </c>
      <c r="B80" s="8">
        <v>5060.8999999999996</v>
      </c>
      <c r="C80" s="10">
        <v>-6.166666666666667</v>
      </c>
      <c r="D80" s="11">
        <v>1.7666666666666666</v>
      </c>
      <c r="E80" s="5">
        <f t="shared" si="1"/>
        <v>-0.44721775793650975</v>
      </c>
      <c r="F80" s="24">
        <v>2.5600634920634913</v>
      </c>
      <c r="G80" s="23">
        <v>25.3</v>
      </c>
      <c r="H80" s="13">
        <v>7.4133333333333331</v>
      </c>
      <c r="I80">
        <v>0</v>
      </c>
      <c r="J80" s="14">
        <v>7984.1</v>
      </c>
      <c r="K80" s="32">
        <v>0</v>
      </c>
      <c r="L80" s="28">
        <v>4887</v>
      </c>
      <c r="M80" s="10">
        <v>-5.666666666666667</v>
      </c>
      <c r="N80" s="11">
        <v>1.1333333333333335</v>
      </c>
      <c r="O80" s="24">
        <v>3.007281250000001</v>
      </c>
      <c r="P80" s="23">
        <v>26.7</v>
      </c>
      <c r="Q80" s="13">
        <v>6.8528464017185815</v>
      </c>
      <c r="R80">
        <v>0</v>
      </c>
      <c r="S80" s="14">
        <v>7927.2</v>
      </c>
      <c r="T80" s="32">
        <v>0</v>
      </c>
      <c r="U80" s="28">
        <v>4600.8</v>
      </c>
      <c r="V80" s="10">
        <v>-7.9666666666666677</v>
      </c>
      <c r="W80" s="11">
        <v>1.3</v>
      </c>
      <c r="X80" s="24">
        <v>3.5591818181818184</v>
      </c>
      <c r="Y80" s="23">
        <v>26.7</v>
      </c>
      <c r="Z80" s="13">
        <v>6.6800975506308982</v>
      </c>
      <c r="AA80">
        <f>AA79-AA78+AA79</f>
        <v>1.9105344399999993</v>
      </c>
      <c r="AB80" s="14">
        <v>7898</v>
      </c>
      <c r="AC80" s="32">
        <v>0</v>
      </c>
    </row>
    <row r="81" spans="1:29" x14ac:dyDescent="0.3">
      <c r="A81" s="23" t="s">
        <v>88</v>
      </c>
      <c r="B81" s="8">
        <v>4756.2</v>
      </c>
      <c r="C81" s="10">
        <v>-4.166666666666667</v>
      </c>
      <c r="D81" s="11">
        <v>2.4666666666666668</v>
      </c>
      <c r="E81" s="5">
        <f t="shared" si="1"/>
        <v>-0.4556118791602648</v>
      </c>
      <c r="F81" s="24">
        <v>2.1044516129032265</v>
      </c>
      <c r="G81" s="23">
        <v>25.3</v>
      </c>
      <c r="H81" s="13">
        <v>6.6841552990556137</v>
      </c>
      <c r="I81">
        <v>0</v>
      </c>
      <c r="J81" s="14">
        <v>8013.9</v>
      </c>
      <c r="K81" s="32">
        <v>0</v>
      </c>
      <c r="L81" s="28">
        <v>5060.8999999999996</v>
      </c>
      <c r="M81" s="10">
        <v>-6.166666666666667</v>
      </c>
      <c r="N81" s="11">
        <v>1.7666666666666666</v>
      </c>
      <c r="O81" s="24">
        <v>2.5600634920634913</v>
      </c>
      <c r="P81" s="23">
        <v>25.3</v>
      </c>
      <c r="Q81" s="13">
        <v>7.4133333333333331</v>
      </c>
      <c r="R81">
        <v>0</v>
      </c>
      <c r="S81" s="14">
        <v>7984.1</v>
      </c>
      <c r="T81" s="32">
        <v>0</v>
      </c>
      <c r="U81" s="28">
        <v>4887</v>
      </c>
      <c r="V81" s="10">
        <v>-5.666666666666667</v>
      </c>
      <c r="W81" s="11">
        <v>1.1333333333333335</v>
      </c>
      <c r="X81" s="24">
        <v>3.007281250000001</v>
      </c>
      <c r="Y81" s="23">
        <v>26.7</v>
      </c>
      <c r="Z81" s="13">
        <v>6.8528464017185815</v>
      </c>
      <c r="AA81">
        <v>0</v>
      </c>
      <c r="AB81" s="14">
        <v>7927.2</v>
      </c>
      <c r="AC81" s="32">
        <v>0</v>
      </c>
    </row>
    <row r="82" spans="1:29" x14ac:dyDescent="0.3">
      <c r="A82" s="23" t="s">
        <v>89</v>
      </c>
      <c r="B82" s="8">
        <v>4881.8</v>
      </c>
      <c r="C82" s="10">
        <v>-3.9333333333333331</v>
      </c>
      <c r="D82" s="11">
        <v>3.2666666666666671</v>
      </c>
      <c r="E82" s="5">
        <f t="shared" si="1"/>
        <v>-9.3406158357771663E-2</v>
      </c>
      <c r="F82" s="24">
        <v>2.0110454545454548</v>
      </c>
      <c r="G82" s="23">
        <v>25.3</v>
      </c>
      <c r="H82" s="13">
        <v>6.9080663675258283</v>
      </c>
      <c r="I82">
        <v>0</v>
      </c>
      <c r="J82" s="14">
        <v>8076.9</v>
      </c>
      <c r="K82" s="32">
        <v>0</v>
      </c>
      <c r="L82" s="28">
        <v>4756.2</v>
      </c>
      <c r="M82" s="10">
        <v>-4.166666666666667</v>
      </c>
      <c r="N82" s="11">
        <v>2.4666666666666668</v>
      </c>
      <c r="O82" s="24">
        <v>2.1044516129032265</v>
      </c>
      <c r="P82" s="23">
        <v>25.3</v>
      </c>
      <c r="Q82" s="13">
        <v>6.6841552990556137</v>
      </c>
      <c r="R82">
        <v>0</v>
      </c>
      <c r="S82" s="14">
        <v>8013.9</v>
      </c>
      <c r="T82" s="32">
        <v>0</v>
      </c>
      <c r="U82" s="28">
        <v>5060.8999999999996</v>
      </c>
      <c r="V82" s="10">
        <v>-6.166666666666667</v>
      </c>
      <c r="W82" s="11">
        <v>1.7666666666666666</v>
      </c>
      <c r="X82" s="24">
        <v>2.5600634920634913</v>
      </c>
      <c r="Y82" s="23">
        <v>25.3</v>
      </c>
      <c r="Z82" s="13">
        <v>7.4133333333333331</v>
      </c>
      <c r="AA82">
        <v>0</v>
      </c>
      <c r="AB82" s="14">
        <v>7984.1</v>
      </c>
      <c r="AC82" s="32">
        <v>0</v>
      </c>
    </row>
    <row r="83" spans="1:29" x14ac:dyDescent="0.3">
      <c r="A83" s="23" t="s">
        <v>90</v>
      </c>
      <c r="B83" s="8">
        <v>5085.6000000000004</v>
      </c>
      <c r="C83" s="10">
        <v>-3.8000000000000003</v>
      </c>
      <c r="D83" s="11">
        <v>3.7666666666666671</v>
      </c>
      <c r="E83" s="5">
        <f t="shared" si="1"/>
        <v>3.0001420454545347E-2</v>
      </c>
      <c r="F83" s="24">
        <v>2.0410468750000001</v>
      </c>
      <c r="G83" s="23">
        <v>25.3</v>
      </c>
      <c r="H83" s="13">
        <v>6.7399112613564336</v>
      </c>
      <c r="I83">
        <v>0</v>
      </c>
      <c r="J83" s="14">
        <v>8126.6</v>
      </c>
      <c r="K83" s="32">
        <v>0</v>
      </c>
      <c r="L83" s="28">
        <v>4881.8</v>
      </c>
      <c r="M83" s="10">
        <v>-3.9333333333333331</v>
      </c>
      <c r="N83" s="11">
        <v>3.2666666666666671</v>
      </c>
      <c r="O83" s="24">
        <v>2.0110454545454548</v>
      </c>
      <c r="P83" s="23">
        <v>25.3</v>
      </c>
      <c r="Q83" s="13">
        <v>6.9080663675258283</v>
      </c>
      <c r="R83">
        <v>0</v>
      </c>
      <c r="S83" s="14">
        <v>8076.9</v>
      </c>
      <c r="T83" s="32">
        <v>0</v>
      </c>
      <c r="U83" s="28">
        <v>4756.2</v>
      </c>
      <c r="V83" s="10">
        <v>-4.166666666666667</v>
      </c>
      <c r="W83" s="11">
        <v>2.4666666666666668</v>
      </c>
      <c r="X83" s="24">
        <v>2.1044516129032265</v>
      </c>
      <c r="Y83" s="23">
        <v>25.3</v>
      </c>
      <c r="Z83" s="13">
        <v>6.6841552990556137</v>
      </c>
      <c r="AA83">
        <v>0</v>
      </c>
      <c r="AB83" s="14">
        <v>8013.9</v>
      </c>
      <c r="AC83" s="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9E72-95E0-4DA8-854B-EBEA130CF0B6}">
  <dimension ref="A1:AE97"/>
  <sheetViews>
    <sheetView workbookViewId="0">
      <selection activeCell="F1" sqref="F1:F1048576"/>
    </sheetView>
  </sheetViews>
  <sheetFormatPr defaultRowHeight="14.4" x14ac:dyDescent="0.3"/>
  <cols>
    <col min="3" max="3" width="12.6640625" customWidth="1"/>
    <col min="11" max="11" width="8.88671875" style="49"/>
    <col min="12" max="12" width="8.88671875" style="42"/>
    <col min="21" max="21" width="8.88671875" style="49"/>
    <col min="22" max="22" width="8.88671875" style="42"/>
    <col min="31" max="31" width="8.88671875" style="49"/>
  </cols>
  <sheetData>
    <row r="1" spans="1:31" ht="15" customHeight="1" x14ac:dyDescent="0.3">
      <c r="A1" s="3" t="s">
        <v>0</v>
      </c>
      <c r="B1" s="3" t="s">
        <v>1</v>
      </c>
      <c r="C1" s="3" t="s">
        <v>111</v>
      </c>
      <c r="D1" s="3" t="s">
        <v>2</v>
      </c>
      <c r="E1" s="3" t="s">
        <v>3</v>
      </c>
      <c r="F1" s="3" t="s">
        <v>112</v>
      </c>
      <c r="G1" s="3" t="s">
        <v>4</v>
      </c>
      <c r="H1" s="33" t="s">
        <v>5</v>
      </c>
      <c r="I1" s="3" t="s">
        <v>113</v>
      </c>
      <c r="J1" s="3" t="s">
        <v>6</v>
      </c>
      <c r="K1" s="36" t="s">
        <v>7</v>
      </c>
      <c r="L1" s="37" t="s">
        <v>91</v>
      </c>
      <c r="M1" s="3" t="s">
        <v>114</v>
      </c>
      <c r="N1" s="3" t="s">
        <v>92</v>
      </c>
      <c r="O1" s="3" t="s">
        <v>93</v>
      </c>
      <c r="P1" s="3" t="s">
        <v>115</v>
      </c>
      <c r="Q1" s="3" t="s">
        <v>94</v>
      </c>
      <c r="R1" s="3" t="s">
        <v>95</v>
      </c>
      <c r="S1" s="3" t="s">
        <v>102</v>
      </c>
      <c r="T1" s="3" t="s">
        <v>96</v>
      </c>
      <c r="U1" s="36" t="s">
        <v>108</v>
      </c>
      <c r="V1" s="37" t="s">
        <v>97</v>
      </c>
      <c r="W1" s="3" t="s">
        <v>116</v>
      </c>
      <c r="X1" s="3" t="s">
        <v>98</v>
      </c>
      <c r="Y1" s="3" t="s">
        <v>78</v>
      </c>
      <c r="Z1" s="3" t="s">
        <v>117</v>
      </c>
      <c r="AA1" s="3" t="s">
        <v>99</v>
      </c>
      <c r="AB1" s="3" t="s">
        <v>100</v>
      </c>
      <c r="AC1" s="3" t="s">
        <v>102</v>
      </c>
      <c r="AD1" s="3" t="s">
        <v>101</v>
      </c>
      <c r="AE1" s="36" t="s">
        <v>109</v>
      </c>
    </row>
    <row r="2" spans="1:31" x14ac:dyDescent="0.3">
      <c r="A2" s="43" t="s">
        <v>118</v>
      </c>
      <c r="B2" s="38"/>
      <c r="C2" s="39"/>
      <c r="D2" s="48"/>
      <c r="E2" s="3"/>
      <c r="F2" s="40"/>
      <c r="G2" s="39"/>
      <c r="H2" s="47"/>
      <c r="J2" s="41">
        <v>5230.3</v>
      </c>
      <c r="K2" s="30"/>
      <c r="L2" s="44"/>
      <c r="M2" s="45"/>
      <c r="N2" s="46"/>
      <c r="O2" s="3"/>
      <c r="P2" s="40"/>
      <c r="Q2" s="45"/>
      <c r="R2" s="47"/>
      <c r="T2" s="41"/>
      <c r="U2" s="30"/>
      <c r="V2" s="44"/>
      <c r="W2" s="45"/>
      <c r="X2" s="46"/>
      <c r="Y2" s="3"/>
      <c r="Z2" s="40"/>
      <c r="AA2" s="45"/>
      <c r="AB2" s="47"/>
      <c r="AD2" s="41"/>
      <c r="AE2" s="30"/>
    </row>
    <row r="3" spans="1:31" x14ac:dyDescent="0.3">
      <c r="A3" s="43" t="s">
        <v>119</v>
      </c>
      <c r="B3" s="38"/>
      <c r="C3" s="39"/>
      <c r="D3" s="48"/>
      <c r="E3" s="3"/>
      <c r="F3" s="40"/>
      <c r="G3" s="39"/>
      <c r="H3" s="47"/>
      <c r="J3" s="41">
        <v>5381.8</v>
      </c>
      <c r="K3" s="30"/>
      <c r="L3" s="44"/>
      <c r="M3" s="45"/>
      <c r="N3" s="48"/>
      <c r="O3" s="3"/>
      <c r="P3" s="40"/>
      <c r="Q3" s="45"/>
      <c r="R3" s="47"/>
      <c r="T3" s="41"/>
      <c r="U3" s="30"/>
      <c r="V3" s="44"/>
      <c r="W3" s="45"/>
      <c r="X3" s="46"/>
      <c r="Y3" s="3"/>
      <c r="Z3" s="40"/>
      <c r="AA3" s="45"/>
      <c r="AB3" s="47"/>
      <c r="AD3" s="41"/>
      <c r="AE3" s="30"/>
    </row>
    <row r="4" spans="1:31" x14ac:dyDescent="0.3">
      <c r="A4" s="43" t="s">
        <v>120</v>
      </c>
      <c r="B4" s="38">
        <v>894.4</v>
      </c>
      <c r="C4" s="39"/>
      <c r="D4" s="48">
        <v>3.2333333333333329</v>
      </c>
      <c r="E4" s="3">
        <v>6.6000000000000005</v>
      </c>
      <c r="F4" s="40">
        <v>3.73</v>
      </c>
      <c r="G4" s="45">
        <v>71.900000000000006</v>
      </c>
      <c r="H4" s="47">
        <v>0.11559341070760014</v>
      </c>
      <c r="I4">
        <v>0</v>
      </c>
      <c r="J4" s="41">
        <v>5501.3</v>
      </c>
      <c r="K4" s="30">
        <v>0</v>
      </c>
      <c r="L4" s="44"/>
      <c r="M4" s="45"/>
      <c r="N4" s="48"/>
      <c r="O4" s="3"/>
      <c r="P4" s="40"/>
      <c r="Q4" s="45"/>
      <c r="R4" s="47"/>
      <c r="T4" s="41"/>
      <c r="U4" s="30"/>
      <c r="V4" s="44"/>
      <c r="W4" s="45"/>
      <c r="X4" s="48"/>
      <c r="Y4" s="3"/>
      <c r="Z4" s="40"/>
      <c r="AA4" s="45"/>
      <c r="AB4" s="47"/>
      <c r="AD4" s="41"/>
      <c r="AE4" s="30"/>
    </row>
    <row r="5" spans="1:31" x14ac:dyDescent="0.3">
      <c r="A5" s="43" t="s">
        <v>121</v>
      </c>
      <c r="B5" s="38">
        <v>1031.7</v>
      </c>
      <c r="C5" s="39"/>
      <c r="D5" s="48">
        <v>4.8999999999999995</v>
      </c>
      <c r="E5" s="3">
        <v>6.9666666666666659</v>
      </c>
      <c r="F5" s="5">
        <v>2.86</v>
      </c>
      <c r="G5" s="45">
        <v>71.900000000000006</v>
      </c>
      <c r="H5" s="47">
        <v>0.10431090187390382</v>
      </c>
      <c r="I5">
        <v>0</v>
      </c>
      <c r="J5" s="41">
        <v>5685.9</v>
      </c>
      <c r="K5" s="30">
        <v>0</v>
      </c>
      <c r="L5" s="44">
        <v>894.4</v>
      </c>
      <c r="M5" s="45"/>
      <c r="N5" s="48">
        <v>3.2333333333333329</v>
      </c>
      <c r="O5" s="3">
        <v>6.6000000000000005</v>
      </c>
      <c r="P5" s="40">
        <v>3.73</v>
      </c>
      <c r="Q5" s="45">
        <v>71.900000000000006</v>
      </c>
      <c r="R5" s="47">
        <v>0.11559341070760014</v>
      </c>
      <c r="S5">
        <v>0</v>
      </c>
      <c r="T5" s="41">
        <v>5501.3</v>
      </c>
      <c r="U5" s="30">
        <v>0</v>
      </c>
      <c r="V5" s="44"/>
      <c r="W5" s="45"/>
      <c r="X5" s="48"/>
      <c r="Y5" s="3"/>
      <c r="Z5" s="40"/>
      <c r="AA5" s="45"/>
      <c r="AB5" s="47"/>
      <c r="AD5" s="41"/>
      <c r="AE5" s="30"/>
    </row>
    <row r="6" spans="1:31" x14ac:dyDescent="0.3">
      <c r="A6" s="43" t="s">
        <v>8</v>
      </c>
      <c r="B6" s="38">
        <v>1046.9000000000001</v>
      </c>
      <c r="C6" s="39"/>
      <c r="D6" s="48">
        <v>7.4333333333333327</v>
      </c>
      <c r="E6" s="3">
        <v>6.8666666666666671</v>
      </c>
      <c r="F6" s="40">
        <v>2.76</v>
      </c>
      <c r="G6" s="45">
        <v>71.900000000000006</v>
      </c>
      <c r="H6" s="47">
        <v>9.4694178334561535E-2</v>
      </c>
      <c r="I6">
        <v>0</v>
      </c>
      <c r="J6" s="41">
        <v>5927</v>
      </c>
      <c r="K6" s="30">
        <v>0</v>
      </c>
      <c r="L6" s="44">
        <v>1031.7</v>
      </c>
      <c r="M6" s="45"/>
      <c r="N6" s="48">
        <v>4.8999999999999995</v>
      </c>
      <c r="O6" s="3">
        <v>6.9666666666666659</v>
      </c>
      <c r="P6" s="40">
        <v>2.86</v>
      </c>
      <c r="Q6" s="45">
        <v>71.900000000000006</v>
      </c>
      <c r="R6" s="47">
        <v>0.10431090187390382</v>
      </c>
      <c r="S6">
        <v>0</v>
      </c>
      <c r="T6" s="41">
        <v>5685.9</v>
      </c>
      <c r="U6" s="30">
        <v>0</v>
      </c>
      <c r="V6" s="44">
        <v>894.4</v>
      </c>
      <c r="W6" s="45"/>
      <c r="X6" s="48">
        <v>3.2333333333333329</v>
      </c>
      <c r="Y6" s="3">
        <v>6.6000000000000005</v>
      </c>
      <c r="Z6" s="40">
        <v>3.73</v>
      </c>
      <c r="AA6" s="45">
        <v>71.900000000000006</v>
      </c>
      <c r="AB6" s="47">
        <v>0.11559341070760014</v>
      </c>
      <c r="AC6">
        <v>0</v>
      </c>
      <c r="AD6" s="41">
        <v>5501.3</v>
      </c>
      <c r="AE6" s="30">
        <v>0</v>
      </c>
    </row>
    <row r="7" spans="1:31" x14ac:dyDescent="0.3">
      <c r="A7" s="43" t="s">
        <v>9</v>
      </c>
      <c r="B7" s="38">
        <v>1136.5999999999999</v>
      </c>
      <c r="C7" s="39"/>
      <c r="D7" s="48">
        <v>8.7666666666666657</v>
      </c>
      <c r="E7" s="3">
        <v>6.9000000000000012</v>
      </c>
      <c r="F7" s="40">
        <v>2.93</v>
      </c>
      <c r="G7" s="45">
        <v>71.900000000000006</v>
      </c>
      <c r="H7" s="47">
        <v>8.693249838843356E-2</v>
      </c>
      <c r="I7">
        <v>0</v>
      </c>
      <c r="J7" s="41">
        <v>6141.7</v>
      </c>
      <c r="K7" s="30">
        <v>0</v>
      </c>
      <c r="L7" s="44">
        <v>1046.9000000000001</v>
      </c>
      <c r="M7" s="45"/>
      <c r="N7" s="48">
        <v>7.4333333333333327</v>
      </c>
      <c r="O7" s="3">
        <v>6.8666666666666671</v>
      </c>
      <c r="P7" s="40">
        <v>2.76</v>
      </c>
      <c r="Q7" s="45">
        <v>71.900000000000006</v>
      </c>
      <c r="R7" s="47">
        <v>9.4694178334561535E-2</v>
      </c>
      <c r="S7">
        <v>0</v>
      </c>
      <c r="T7" s="41">
        <v>5927</v>
      </c>
      <c r="U7" s="30">
        <v>0</v>
      </c>
      <c r="V7" s="44">
        <v>1031.7</v>
      </c>
      <c r="W7" s="45"/>
      <c r="X7" s="48">
        <v>4.8999999999999995</v>
      </c>
      <c r="Y7" s="3">
        <v>6.9666666666666659</v>
      </c>
      <c r="Z7" s="40">
        <v>2.86</v>
      </c>
      <c r="AA7" s="45">
        <v>71.900000000000006</v>
      </c>
      <c r="AB7" s="47">
        <v>0.10431090187390382</v>
      </c>
      <c r="AC7">
        <v>0</v>
      </c>
      <c r="AD7" s="41">
        <v>5685.9</v>
      </c>
      <c r="AE7" s="30">
        <v>0</v>
      </c>
    </row>
    <row r="8" spans="1:31" x14ac:dyDescent="0.3">
      <c r="A8" s="43" t="s">
        <v>10</v>
      </c>
      <c r="B8" s="38">
        <v>1038.8</v>
      </c>
      <c r="C8" s="39"/>
      <c r="D8" s="48">
        <v>4.9000000000000004</v>
      </c>
      <c r="E8" s="3">
        <v>7</v>
      </c>
      <c r="F8" s="40">
        <v>4.01</v>
      </c>
      <c r="G8" s="45">
        <v>64.3</v>
      </c>
      <c r="H8" s="47">
        <v>8.5588478121273279E-2</v>
      </c>
      <c r="I8">
        <v>0</v>
      </c>
      <c r="J8" s="41">
        <v>6196.4</v>
      </c>
      <c r="K8" s="30">
        <v>0</v>
      </c>
      <c r="L8" s="44">
        <v>1136.5999999999999</v>
      </c>
      <c r="M8" s="45"/>
      <c r="N8" s="48">
        <v>8.7666666666666657</v>
      </c>
      <c r="O8" s="3">
        <v>6.9000000000000012</v>
      </c>
      <c r="P8" s="40">
        <v>2.93</v>
      </c>
      <c r="Q8" s="45">
        <v>71.900000000000006</v>
      </c>
      <c r="R8" s="47">
        <v>8.693249838843356E-2</v>
      </c>
      <c r="S8">
        <v>0</v>
      </c>
      <c r="T8" s="41">
        <v>6141.7</v>
      </c>
      <c r="U8" s="30">
        <v>0</v>
      </c>
      <c r="V8" s="44">
        <v>1046.9000000000001</v>
      </c>
      <c r="W8" s="45"/>
      <c r="X8" s="48">
        <v>7.4333333333333327</v>
      </c>
      <c r="Y8" s="3">
        <v>6.8666666666666671</v>
      </c>
      <c r="Z8" s="40">
        <v>2.76</v>
      </c>
      <c r="AA8" s="45">
        <v>71.900000000000006</v>
      </c>
      <c r="AB8" s="47">
        <v>9.4694178334561535E-2</v>
      </c>
      <c r="AC8">
        <v>0</v>
      </c>
      <c r="AD8" s="41">
        <v>5927</v>
      </c>
      <c r="AE8" s="30">
        <v>0</v>
      </c>
    </row>
    <row r="9" spans="1:31" x14ac:dyDescent="0.3">
      <c r="A9" s="43" t="s">
        <v>11</v>
      </c>
      <c r="B9" s="38">
        <v>1179.4000000000001</v>
      </c>
      <c r="C9" s="39"/>
      <c r="D9" s="48">
        <v>4.5666666666666664</v>
      </c>
      <c r="E9" s="3">
        <v>6.9000000000000012</v>
      </c>
      <c r="F9" s="40">
        <v>4.17</v>
      </c>
      <c r="G9" s="45">
        <v>64.3</v>
      </c>
      <c r="H9" s="47">
        <v>7.223128511872394E-2</v>
      </c>
      <c r="I9">
        <v>0</v>
      </c>
      <c r="J9" s="41">
        <v>6434.3</v>
      </c>
      <c r="K9" s="30">
        <v>0</v>
      </c>
      <c r="L9" s="44">
        <v>1038.8</v>
      </c>
      <c r="M9" s="45"/>
      <c r="N9" s="48">
        <v>4.9000000000000004</v>
      </c>
      <c r="O9" s="3">
        <v>7</v>
      </c>
      <c r="P9" s="40">
        <v>4.01</v>
      </c>
      <c r="Q9" s="45">
        <v>64.3</v>
      </c>
      <c r="R9" s="47">
        <v>8.5588478121273279E-2</v>
      </c>
      <c r="S9">
        <v>0</v>
      </c>
      <c r="T9" s="41">
        <v>6196.4</v>
      </c>
      <c r="U9" s="30">
        <v>0</v>
      </c>
      <c r="V9" s="44">
        <v>1136.5999999999999</v>
      </c>
      <c r="W9" s="45"/>
      <c r="X9" s="48">
        <v>8.7666666666666657</v>
      </c>
      <c r="Y9" s="3">
        <v>6.9000000000000012</v>
      </c>
      <c r="Z9" s="40">
        <v>2.93</v>
      </c>
      <c r="AA9" s="45">
        <v>71.900000000000006</v>
      </c>
      <c r="AB9" s="47">
        <v>8.693249838843356E-2</v>
      </c>
      <c r="AC9">
        <v>0</v>
      </c>
      <c r="AD9" s="41">
        <v>6141.7</v>
      </c>
      <c r="AE9" s="30">
        <v>0</v>
      </c>
    </row>
    <row r="10" spans="1:31" x14ac:dyDescent="0.3">
      <c r="A10" s="43" t="s">
        <v>12</v>
      </c>
      <c r="B10" s="38">
        <v>1203.2</v>
      </c>
      <c r="C10" s="39"/>
      <c r="D10" s="48">
        <v>8.2666666666666675</v>
      </c>
      <c r="E10" s="3">
        <v>6.9666666666666659</v>
      </c>
      <c r="F10" s="40">
        <v>4.78</v>
      </c>
      <c r="G10" s="45">
        <v>64.3</v>
      </c>
      <c r="H10" s="47">
        <v>6.0132450331125825E-2</v>
      </c>
      <c r="I10">
        <v>0</v>
      </c>
      <c r="J10" s="41">
        <v>6649.1</v>
      </c>
      <c r="K10" s="30">
        <v>0</v>
      </c>
      <c r="L10" s="44">
        <v>1179.4000000000001</v>
      </c>
      <c r="M10" s="45"/>
      <c r="N10" s="48">
        <v>4.5666666666666664</v>
      </c>
      <c r="O10" s="3">
        <v>6.9000000000000012</v>
      </c>
      <c r="P10" s="40">
        <v>4.17</v>
      </c>
      <c r="Q10" s="45">
        <v>64.3</v>
      </c>
      <c r="R10" s="47">
        <v>7.223128511872394E-2</v>
      </c>
      <c r="S10">
        <v>0</v>
      </c>
      <c r="T10" s="41">
        <v>6434.3</v>
      </c>
      <c r="U10" s="30">
        <v>0</v>
      </c>
      <c r="V10" s="44">
        <v>1038.8</v>
      </c>
      <c r="W10" s="45"/>
      <c r="X10" s="48">
        <v>4.9000000000000004</v>
      </c>
      <c r="Y10" s="3">
        <v>7</v>
      </c>
      <c r="Z10" s="40">
        <v>4.01</v>
      </c>
      <c r="AA10" s="45">
        <v>64.3</v>
      </c>
      <c r="AB10" s="47">
        <v>8.5588478121273279E-2</v>
      </c>
      <c r="AC10">
        <v>0</v>
      </c>
      <c r="AD10" s="41">
        <v>6196.4</v>
      </c>
      <c r="AE10" s="30">
        <v>0</v>
      </c>
    </row>
    <row r="11" spans="1:31" x14ac:dyDescent="0.3">
      <c r="A11" s="43" t="s">
        <v>13</v>
      </c>
      <c r="B11" s="38">
        <v>1264.4000000000001</v>
      </c>
      <c r="C11" s="39"/>
      <c r="D11" s="48">
        <v>9.1666666666666661</v>
      </c>
      <c r="E11" s="3">
        <v>6.6333333333333329</v>
      </c>
      <c r="F11" s="40">
        <v>4.51</v>
      </c>
      <c r="G11" s="45">
        <v>64.3</v>
      </c>
      <c r="H11" s="47">
        <v>6.3806777217015137E-2</v>
      </c>
      <c r="I11">
        <v>0</v>
      </c>
      <c r="J11" s="41">
        <v>6971.8</v>
      </c>
      <c r="K11" s="30">
        <v>0</v>
      </c>
      <c r="L11" s="44">
        <v>1203.2</v>
      </c>
      <c r="M11" s="45"/>
      <c r="N11" s="48">
        <v>8.2666666666666675</v>
      </c>
      <c r="O11" s="3">
        <v>6.9666666666666659</v>
      </c>
      <c r="P11" s="40">
        <v>4.78</v>
      </c>
      <c r="Q11" s="45">
        <v>64.3</v>
      </c>
      <c r="R11" s="47">
        <v>6.0132450331125825E-2</v>
      </c>
      <c r="S11">
        <v>0</v>
      </c>
      <c r="T11" s="41">
        <v>6649.1</v>
      </c>
      <c r="U11" s="30">
        <v>0</v>
      </c>
      <c r="V11" s="44">
        <v>1179.4000000000001</v>
      </c>
      <c r="W11" s="45"/>
      <c r="X11" s="48">
        <v>4.5666666666666664</v>
      </c>
      <c r="Y11" s="3">
        <v>6.9000000000000012</v>
      </c>
      <c r="Z11" s="40">
        <v>4.17</v>
      </c>
      <c r="AA11" s="45">
        <v>64.3</v>
      </c>
      <c r="AB11" s="47">
        <v>7.223128511872394E-2</v>
      </c>
      <c r="AC11">
        <v>0</v>
      </c>
      <c r="AD11" s="41">
        <v>6434.3</v>
      </c>
      <c r="AE11" s="30">
        <v>0</v>
      </c>
    </row>
    <row r="12" spans="1:31" x14ac:dyDescent="0.3">
      <c r="A12" s="43" t="s">
        <v>14</v>
      </c>
      <c r="B12" s="38">
        <v>1291.5</v>
      </c>
      <c r="C12" s="40">
        <v>49.6</v>
      </c>
      <c r="D12" s="48">
        <v>9.8666666666666654</v>
      </c>
      <c r="E12" s="3">
        <v>6.6000000000000005</v>
      </c>
      <c r="F12" s="40">
        <v>5.21</v>
      </c>
      <c r="G12" s="45">
        <v>57.7</v>
      </c>
      <c r="H12" s="47">
        <v>7.0640780238811415E-2</v>
      </c>
      <c r="I12">
        <v>0</v>
      </c>
      <c r="J12" s="41">
        <v>7122.9</v>
      </c>
      <c r="K12" s="30">
        <v>0</v>
      </c>
      <c r="L12" s="44">
        <v>1264.4000000000001</v>
      </c>
      <c r="M12" s="45"/>
      <c r="N12" s="48">
        <v>9.1666666666666661</v>
      </c>
      <c r="O12" s="3">
        <v>6.6333333333333329</v>
      </c>
      <c r="P12" s="40">
        <v>4.51</v>
      </c>
      <c r="Q12" s="45">
        <v>64.3</v>
      </c>
      <c r="R12" s="47">
        <v>6.3806777217015137E-2</v>
      </c>
      <c r="S12">
        <v>0</v>
      </c>
      <c r="T12" s="41">
        <v>6971.8</v>
      </c>
      <c r="U12" s="30">
        <v>0</v>
      </c>
      <c r="V12" s="44">
        <v>1203.2</v>
      </c>
      <c r="W12" s="45"/>
      <c r="X12" s="48">
        <v>8.2666666666666675</v>
      </c>
      <c r="Y12" s="3">
        <v>6.9666666666666659</v>
      </c>
      <c r="Z12" s="40">
        <v>4.78</v>
      </c>
      <c r="AA12" s="45">
        <v>64.3</v>
      </c>
      <c r="AB12" s="47">
        <v>6.0132450331125825E-2</v>
      </c>
      <c r="AC12">
        <v>0</v>
      </c>
      <c r="AD12" s="41">
        <v>6649.1</v>
      </c>
      <c r="AE12" s="30">
        <v>0</v>
      </c>
    </row>
    <row r="13" spans="1:31" x14ac:dyDescent="0.3">
      <c r="A13" s="43" t="s">
        <v>15</v>
      </c>
      <c r="B13" s="38">
        <v>1444.6</v>
      </c>
      <c r="C13" s="40">
        <v>39.700000000000003</v>
      </c>
      <c r="D13" s="48">
        <v>4.9000000000000004</v>
      </c>
      <c r="E13" s="3">
        <v>7.0666666666666664</v>
      </c>
      <c r="F13" s="40">
        <v>9.16</v>
      </c>
      <c r="G13" s="45">
        <v>57.7</v>
      </c>
      <c r="H13" s="47">
        <v>6.2940808856352115E-2</v>
      </c>
      <c r="I13">
        <v>0</v>
      </c>
      <c r="J13" s="41">
        <v>7278.5</v>
      </c>
      <c r="K13" s="30">
        <v>0</v>
      </c>
      <c r="L13" s="44">
        <v>1291.5</v>
      </c>
      <c r="M13" s="40">
        <v>49.6</v>
      </c>
      <c r="N13" s="48">
        <v>9.8666666666666654</v>
      </c>
      <c r="O13" s="3">
        <v>6.6000000000000005</v>
      </c>
      <c r="P13" s="40">
        <v>5.21</v>
      </c>
      <c r="Q13" s="45">
        <v>57.7</v>
      </c>
      <c r="R13" s="47">
        <v>7.0640780238811415E-2</v>
      </c>
      <c r="S13">
        <v>0</v>
      </c>
      <c r="T13" s="41">
        <v>7122.9</v>
      </c>
      <c r="U13" s="30">
        <v>0</v>
      </c>
      <c r="V13" s="44">
        <v>1264.4000000000001</v>
      </c>
      <c r="W13" s="45"/>
      <c r="X13" s="48">
        <v>9.1666666666666661</v>
      </c>
      <c r="Y13" s="3">
        <v>6.6333333333333329</v>
      </c>
      <c r="Z13" s="40">
        <v>4.51</v>
      </c>
      <c r="AA13" s="45">
        <v>64.3</v>
      </c>
      <c r="AB13" s="47">
        <v>6.3806777217015137E-2</v>
      </c>
      <c r="AC13">
        <v>0</v>
      </c>
      <c r="AD13" s="41">
        <v>6971.8</v>
      </c>
      <c r="AE13" s="30">
        <v>0</v>
      </c>
    </row>
    <row r="14" spans="1:31" x14ac:dyDescent="0.3">
      <c r="A14" s="23" t="s">
        <v>16</v>
      </c>
      <c r="B14" s="8">
        <v>1460.9</v>
      </c>
      <c r="C14" s="12">
        <v>36.5</v>
      </c>
      <c r="D14" s="10">
        <v>3.9333333333333331</v>
      </c>
      <c r="E14" s="11">
        <v>7.8</v>
      </c>
      <c r="F14" s="12">
        <v>8.51</v>
      </c>
      <c r="G14" s="9">
        <v>57.7</v>
      </c>
      <c r="H14" s="13">
        <v>5.6438930630788045E-2</v>
      </c>
      <c r="I14">
        <v>0</v>
      </c>
      <c r="J14" s="14">
        <v>7379.3</v>
      </c>
      <c r="K14" s="32">
        <v>0</v>
      </c>
      <c r="L14" s="28">
        <v>1444.6</v>
      </c>
      <c r="M14" s="12">
        <v>39.700000000000003</v>
      </c>
      <c r="N14" s="10">
        <v>4.9000000000000004</v>
      </c>
      <c r="O14" s="11">
        <v>7.0666666666666664</v>
      </c>
      <c r="P14" s="12">
        <v>9.16</v>
      </c>
      <c r="Q14" s="9">
        <v>57.7</v>
      </c>
      <c r="R14" s="13">
        <v>6.2940808856352115E-2</v>
      </c>
      <c r="S14">
        <v>0</v>
      </c>
      <c r="T14" s="14">
        <v>7278.5</v>
      </c>
      <c r="U14" s="30">
        <v>0</v>
      </c>
      <c r="V14" s="28">
        <v>1291.5</v>
      </c>
      <c r="W14" s="12">
        <v>49.6</v>
      </c>
      <c r="X14" s="10">
        <v>9.8666666666666654</v>
      </c>
      <c r="Y14" s="11">
        <v>6.6000000000000005</v>
      </c>
      <c r="Z14" s="12">
        <v>5.21</v>
      </c>
      <c r="AA14" s="9">
        <v>57.7</v>
      </c>
      <c r="AB14" s="13">
        <v>7.0640780238811415E-2</v>
      </c>
      <c r="AC14">
        <v>0</v>
      </c>
      <c r="AD14" s="14">
        <v>7122.9</v>
      </c>
      <c r="AE14" s="30">
        <v>0</v>
      </c>
    </row>
    <row r="15" spans="1:31" x14ac:dyDescent="0.3">
      <c r="A15" s="23" t="s">
        <v>17</v>
      </c>
      <c r="B15" s="8">
        <v>1551.8</v>
      </c>
      <c r="C15" s="12">
        <v>23.1</v>
      </c>
      <c r="D15" s="10">
        <v>0.80000000000000016</v>
      </c>
      <c r="E15" s="11">
        <v>9.4666666666666668</v>
      </c>
      <c r="F15" s="12">
        <v>11.72</v>
      </c>
      <c r="G15" s="9">
        <v>57.7</v>
      </c>
      <c r="H15" s="13">
        <v>5.2534643045079807E-2</v>
      </c>
      <c r="I15">
        <v>0</v>
      </c>
      <c r="J15" s="14">
        <v>7277.5</v>
      </c>
      <c r="K15" s="32">
        <v>0</v>
      </c>
      <c r="L15" s="28">
        <v>1460.9</v>
      </c>
      <c r="M15" s="12">
        <v>36.5</v>
      </c>
      <c r="N15" s="10">
        <v>3.9333333333333331</v>
      </c>
      <c r="O15" s="11">
        <v>7.8</v>
      </c>
      <c r="P15" s="12">
        <v>8.51</v>
      </c>
      <c r="Q15" s="9">
        <v>57.7</v>
      </c>
      <c r="R15" s="13">
        <v>5.6438930630788045E-2</v>
      </c>
      <c r="S15">
        <v>0</v>
      </c>
      <c r="T15" s="14">
        <v>7379.3</v>
      </c>
      <c r="U15" s="32">
        <v>0</v>
      </c>
      <c r="V15" s="28">
        <v>1444.6</v>
      </c>
      <c r="W15" s="12">
        <v>39.700000000000003</v>
      </c>
      <c r="X15" s="10">
        <v>4.9000000000000004</v>
      </c>
      <c r="Y15" s="11">
        <v>7.0666666666666664</v>
      </c>
      <c r="Z15" s="12">
        <v>9.16</v>
      </c>
      <c r="AA15" s="9">
        <v>57.7</v>
      </c>
      <c r="AB15" s="13">
        <v>6.2940808856352115E-2</v>
      </c>
      <c r="AC15">
        <v>0</v>
      </c>
      <c r="AD15" s="14">
        <v>7278.5</v>
      </c>
      <c r="AE15" s="30">
        <v>0</v>
      </c>
    </row>
    <row r="16" spans="1:31" x14ac:dyDescent="0.3">
      <c r="A16" s="23" t="s">
        <v>18</v>
      </c>
      <c r="B16" s="8">
        <v>1528.9</v>
      </c>
      <c r="C16" s="12">
        <v>16.7</v>
      </c>
      <c r="D16" s="10">
        <v>-3.1333333333333333</v>
      </c>
      <c r="E16" s="11">
        <v>11.566666666666668</v>
      </c>
      <c r="F16" s="12">
        <v>7.7</v>
      </c>
      <c r="G16" s="9">
        <v>51.6</v>
      </c>
      <c r="H16" s="13">
        <v>6.7223933128024646E-2</v>
      </c>
      <c r="I16">
        <v>0</v>
      </c>
      <c r="J16" s="14">
        <v>7374.1</v>
      </c>
      <c r="K16" s="32">
        <v>0</v>
      </c>
      <c r="L16" s="28">
        <v>1551.8</v>
      </c>
      <c r="M16" s="12">
        <v>23.1</v>
      </c>
      <c r="N16" s="10">
        <v>0.80000000000000016</v>
      </c>
      <c r="O16" s="11">
        <v>9.4666666666666668</v>
      </c>
      <c r="P16" s="12">
        <v>11.72</v>
      </c>
      <c r="Q16" s="9">
        <v>57.7</v>
      </c>
      <c r="R16" s="13">
        <v>5.2534643045079807E-2</v>
      </c>
      <c r="S16">
        <v>0</v>
      </c>
      <c r="T16" s="14">
        <v>7277.5</v>
      </c>
      <c r="U16" s="32">
        <v>0</v>
      </c>
      <c r="V16" s="28">
        <v>1460.9</v>
      </c>
      <c r="W16" s="12">
        <v>36.5</v>
      </c>
      <c r="X16" s="10">
        <v>3.9333333333333331</v>
      </c>
      <c r="Y16" s="11">
        <v>7.8</v>
      </c>
      <c r="Z16" s="12">
        <v>8.51</v>
      </c>
      <c r="AA16" s="9">
        <v>57.7</v>
      </c>
      <c r="AB16" s="13">
        <v>5.6438930630788045E-2</v>
      </c>
      <c r="AC16">
        <v>0</v>
      </c>
      <c r="AD16" s="14">
        <v>7379.3</v>
      </c>
      <c r="AE16" s="32">
        <v>0</v>
      </c>
    </row>
    <row r="17" spans="1:31" x14ac:dyDescent="0.3">
      <c r="A17" s="23" t="s">
        <v>19</v>
      </c>
      <c r="B17" s="8">
        <v>1620.2</v>
      </c>
      <c r="C17" s="12">
        <v>11.3</v>
      </c>
      <c r="D17" s="10">
        <v>-12.966666666666667</v>
      </c>
      <c r="E17" s="11">
        <v>13.766666666666666</v>
      </c>
      <c r="F17" s="12">
        <v>5.95</v>
      </c>
      <c r="G17" s="9">
        <v>51.6</v>
      </c>
      <c r="H17" s="13">
        <v>6.5953188897589832E-2</v>
      </c>
      <c r="I17">
        <v>0</v>
      </c>
      <c r="J17" s="14">
        <v>7191.3</v>
      </c>
      <c r="K17" s="32">
        <v>1</v>
      </c>
      <c r="L17" s="28">
        <v>1528.9</v>
      </c>
      <c r="M17" s="12">
        <v>16.7</v>
      </c>
      <c r="N17" s="10">
        <v>-3.1333333333333333</v>
      </c>
      <c r="O17" s="11">
        <v>11.566666666666668</v>
      </c>
      <c r="P17" s="12">
        <v>7.7</v>
      </c>
      <c r="Q17" s="9">
        <v>51.6</v>
      </c>
      <c r="R17" s="13">
        <v>6.7223933128024646E-2</v>
      </c>
      <c r="S17">
        <v>0</v>
      </c>
      <c r="T17" s="14">
        <v>7374.1</v>
      </c>
      <c r="U17" s="32">
        <v>0</v>
      </c>
      <c r="V17" s="28">
        <v>1551.8</v>
      </c>
      <c r="W17" s="12">
        <v>23.1</v>
      </c>
      <c r="X17" s="10">
        <v>0.80000000000000016</v>
      </c>
      <c r="Y17" s="11">
        <v>9.4666666666666668</v>
      </c>
      <c r="Z17" s="12">
        <v>11.72</v>
      </c>
      <c r="AA17" s="9">
        <v>57.7</v>
      </c>
      <c r="AB17" s="13">
        <v>5.2534643045079807E-2</v>
      </c>
      <c r="AC17">
        <v>0</v>
      </c>
      <c r="AD17" s="14">
        <v>7277.5</v>
      </c>
      <c r="AE17" s="32">
        <v>0</v>
      </c>
    </row>
    <row r="18" spans="1:31" x14ac:dyDescent="0.3">
      <c r="A18" s="23" t="s">
        <v>20</v>
      </c>
      <c r="B18" s="8">
        <v>1683.5</v>
      </c>
      <c r="C18" s="12">
        <v>-3.8</v>
      </c>
      <c r="D18" s="10">
        <v>-14.5</v>
      </c>
      <c r="E18" s="11">
        <v>15.466666666666669</v>
      </c>
      <c r="F18" s="12">
        <v>6.27</v>
      </c>
      <c r="G18" s="9">
        <v>51.6</v>
      </c>
      <c r="H18" s="13">
        <v>7.3938442758740952E-2</v>
      </c>
      <c r="I18">
        <v>0</v>
      </c>
      <c r="J18" s="14">
        <v>6902</v>
      </c>
      <c r="K18" s="32">
        <v>1</v>
      </c>
      <c r="L18" s="28">
        <v>1620.2</v>
      </c>
      <c r="M18" s="12">
        <v>11.3</v>
      </c>
      <c r="N18" s="10">
        <v>-12.966666666666667</v>
      </c>
      <c r="O18" s="11">
        <v>13.766666666666666</v>
      </c>
      <c r="P18" s="12">
        <v>5.95</v>
      </c>
      <c r="Q18" s="9">
        <v>51.6</v>
      </c>
      <c r="R18" s="13">
        <v>6.5953188897589832E-2</v>
      </c>
      <c r="S18">
        <v>0</v>
      </c>
      <c r="T18" s="14">
        <v>7191.3</v>
      </c>
      <c r="U18" s="32">
        <v>1</v>
      </c>
      <c r="V18" s="28">
        <v>1528.9</v>
      </c>
      <c r="W18" s="12">
        <v>16.7</v>
      </c>
      <c r="X18" s="10">
        <v>-3.1333333333333333</v>
      </c>
      <c r="Y18" s="11">
        <v>11.566666666666668</v>
      </c>
      <c r="Z18" s="12">
        <v>7.7</v>
      </c>
      <c r="AA18" s="9">
        <v>51.6</v>
      </c>
      <c r="AB18" s="13">
        <v>6.7223933128024646E-2</v>
      </c>
      <c r="AC18">
        <v>0</v>
      </c>
      <c r="AD18" s="14">
        <v>7374.1</v>
      </c>
      <c r="AE18" s="32">
        <v>0</v>
      </c>
    </row>
    <row r="19" spans="1:31" x14ac:dyDescent="0.3">
      <c r="A19" s="23" t="s">
        <v>21</v>
      </c>
      <c r="B19" s="8">
        <v>1469.3</v>
      </c>
      <c r="C19" s="12">
        <v>-17.8</v>
      </c>
      <c r="D19" s="10">
        <v>-24.366666666666664</v>
      </c>
      <c r="E19" s="11">
        <v>15.566666666666668</v>
      </c>
      <c r="F19" s="12">
        <v>11.97</v>
      </c>
      <c r="G19" s="9">
        <v>51.6</v>
      </c>
      <c r="H19" s="13">
        <v>0.102462967832413</v>
      </c>
      <c r="I19">
        <v>0</v>
      </c>
      <c r="J19" s="14">
        <v>6701.9</v>
      </c>
      <c r="K19" s="32">
        <v>1</v>
      </c>
      <c r="L19" s="28">
        <v>1683.5</v>
      </c>
      <c r="M19" s="12">
        <v>-3.8</v>
      </c>
      <c r="N19" s="10">
        <v>-14.5</v>
      </c>
      <c r="O19" s="11">
        <v>15.466666666666669</v>
      </c>
      <c r="P19" s="12">
        <v>6.27</v>
      </c>
      <c r="Q19" s="9">
        <v>51.6</v>
      </c>
      <c r="R19" s="13">
        <v>7.3938442758740952E-2</v>
      </c>
      <c r="S19">
        <v>0</v>
      </c>
      <c r="T19" s="14">
        <v>6902</v>
      </c>
      <c r="U19" s="32">
        <v>1</v>
      </c>
      <c r="V19" s="28">
        <v>1620.2</v>
      </c>
      <c r="W19" s="12">
        <v>11.3</v>
      </c>
      <c r="X19" s="10">
        <v>-12.966666666666667</v>
      </c>
      <c r="Y19" s="11">
        <v>13.766666666666666</v>
      </c>
      <c r="Z19" s="12">
        <v>5.95</v>
      </c>
      <c r="AA19" s="9">
        <v>51.6</v>
      </c>
      <c r="AB19" s="13">
        <v>6.5953188897589832E-2</v>
      </c>
      <c r="AC19">
        <v>0</v>
      </c>
      <c r="AD19" s="14">
        <v>7191.3</v>
      </c>
      <c r="AE19" s="32">
        <v>1</v>
      </c>
    </row>
    <row r="20" spans="1:31" x14ac:dyDescent="0.3">
      <c r="A20" s="23" t="s">
        <v>22</v>
      </c>
      <c r="B20" s="8">
        <v>1165.8</v>
      </c>
      <c r="C20" s="12">
        <v>-37</v>
      </c>
      <c r="D20" s="10">
        <v>-33.9</v>
      </c>
      <c r="E20" s="11">
        <v>14.066666666666665</v>
      </c>
      <c r="F20" s="12">
        <v>11.6</v>
      </c>
      <c r="G20" s="9">
        <v>61</v>
      </c>
      <c r="H20" s="13">
        <v>0.14246478249313368</v>
      </c>
      <c r="I20">
        <v>0</v>
      </c>
      <c r="J20" s="14">
        <v>6345.9</v>
      </c>
      <c r="K20" s="32">
        <v>1</v>
      </c>
      <c r="L20" s="28">
        <v>1469.3</v>
      </c>
      <c r="M20" s="12">
        <v>-17.8</v>
      </c>
      <c r="N20" s="10">
        <v>-24.366666666666664</v>
      </c>
      <c r="O20" s="11">
        <v>15.566666666666668</v>
      </c>
      <c r="P20" s="12">
        <v>11.97</v>
      </c>
      <c r="Q20" s="9">
        <v>51.6</v>
      </c>
      <c r="R20" s="13">
        <v>0.102462967832413</v>
      </c>
      <c r="S20">
        <v>0</v>
      </c>
      <c r="T20" s="14">
        <v>6701.9</v>
      </c>
      <c r="U20" s="32">
        <v>1</v>
      </c>
      <c r="V20" s="28">
        <v>1683.5</v>
      </c>
      <c r="W20" s="12">
        <v>-3.8</v>
      </c>
      <c r="X20" s="10">
        <v>-14.5</v>
      </c>
      <c r="Y20" s="11">
        <v>15.466666666666669</v>
      </c>
      <c r="Z20" s="12">
        <v>6.27</v>
      </c>
      <c r="AA20" s="9">
        <v>51.6</v>
      </c>
      <c r="AB20" s="13">
        <v>7.3938442758740952E-2</v>
      </c>
      <c r="AC20">
        <v>0</v>
      </c>
      <c r="AD20" s="14">
        <v>6902</v>
      </c>
      <c r="AE20" s="32">
        <v>1</v>
      </c>
    </row>
    <row r="21" spans="1:31" x14ac:dyDescent="0.3">
      <c r="A21" s="23" t="s">
        <v>23</v>
      </c>
      <c r="B21" s="8">
        <v>1216.0999999999999</v>
      </c>
      <c r="C21" s="12">
        <v>-42.3</v>
      </c>
      <c r="D21" s="10">
        <v>-26.666666666666668</v>
      </c>
      <c r="E21" s="11">
        <v>11.200000000000001</v>
      </c>
      <c r="F21" s="12">
        <v>15.96</v>
      </c>
      <c r="G21" s="9">
        <v>61</v>
      </c>
      <c r="H21" s="13">
        <v>0.17247558462503362</v>
      </c>
      <c r="I21">
        <v>0</v>
      </c>
      <c r="J21" s="14">
        <v>5952.3</v>
      </c>
      <c r="K21" s="32">
        <v>1</v>
      </c>
      <c r="L21" s="28">
        <v>1165.8</v>
      </c>
      <c r="M21" s="12">
        <v>-37</v>
      </c>
      <c r="N21" s="10">
        <v>-33.9</v>
      </c>
      <c r="O21" s="11">
        <v>14.066666666666665</v>
      </c>
      <c r="P21" s="12">
        <v>11.6</v>
      </c>
      <c r="Q21" s="9">
        <v>61</v>
      </c>
      <c r="R21" s="13">
        <v>0.14246478249313368</v>
      </c>
      <c r="S21">
        <v>0</v>
      </c>
      <c r="T21" s="14">
        <v>6345.9</v>
      </c>
      <c r="U21" s="32">
        <v>1</v>
      </c>
      <c r="V21" s="28">
        <v>1469.3</v>
      </c>
      <c r="W21" s="12">
        <v>-17.8</v>
      </c>
      <c r="X21" s="10">
        <v>-24.366666666666664</v>
      </c>
      <c r="Y21" s="11">
        <v>15.566666666666668</v>
      </c>
      <c r="Z21" s="12">
        <v>11.97</v>
      </c>
      <c r="AA21" s="9">
        <v>51.6</v>
      </c>
      <c r="AB21" s="13">
        <v>0.102462967832413</v>
      </c>
      <c r="AC21">
        <v>0</v>
      </c>
      <c r="AD21" s="14">
        <v>6701.9</v>
      </c>
      <c r="AE21" s="32">
        <v>1</v>
      </c>
    </row>
    <row r="22" spans="1:31" x14ac:dyDescent="0.3">
      <c r="A22" s="23" t="s">
        <v>24</v>
      </c>
      <c r="B22" s="8">
        <v>1297.7</v>
      </c>
      <c r="C22" s="12">
        <v>-39.1</v>
      </c>
      <c r="D22" s="10">
        <v>-24.166666666666668</v>
      </c>
      <c r="E22" s="11">
        <v>7.666666666666667</v>
      </c>
      <c r="F22" s="12">
        <v>13.91</v>
      </c>
      <c r="G22" s="9">
        <v>61</v>
      </c>
      <c r="H22" s="13">
        <v>0.18782897774494411</v>
      </c>
      <c r="I22">
        <v>0</v>
      </c>
      <c r="J22" s="14">
        <v>5667</v>
      </c>
      <c r="K22" s="32">
        <v>1</v>
      </c>
      <c r="L22" s="28">
        <v>1216.0999999999999</v>
      </c>
      <c r="M22" s="12">
        <v>-42.3</v>
      </c>
      <c r="N22" s="10">
        <v>-26.666666666666668</v>
      </c>
      <c r="O22" s="11">
        <v>11.200000000000001</v>
      </c>
      <c r="P22" s="12">
        <v>15.96</v>
      </c>
      <c r="Q22" s="9">
        <v>61</v>
      </c>
      <c r="R22" s="13">
        <v>0.17247558462503362</v>
      </c>
      <c r="S22">
        <v>0</v>
      </c>
      <c r="T22" s="14">
        <v>5952.3</v>
      </c>
      <c r="U22" s="32">
        <v>1</v>
      </c>
      <c r="V22" s="28">
        <v>1165.8</v>
      </c>
      <c r="W22" s="12">
        <v>-37</v>
      </c>
      <c r="X22" s="10">
        <v>-33.9</v>
      </c>
      <c r="Y22" s="11">
        <v>14.066666666666665</v>
      </c>
      <c r="Z22" s="12">
        <v>11.6</v>
      </c>
      <c r="AA22" s="9">
        <v>61</v>
      </c>
      <c r="AB22" s="13">
        <v>0.14246478249313368</v>
      </c>
      <c r="AC22">
        <v>0</v>
      </c>
      <c r="AD22" s="14">
        <v>6345.9</v>
      </c>
      <c r="AE22" s="32">
        <v>1</v>
      </c>
    </row>
    <row r="23" spans="1:31" x14ac:dyDescent="0.3">
      <c r="A23" s="23" t="s">
        <v>25</v>
      </c>
      <c r="B23" s="8">
        <v>1445.9</v>
      </c>
      <c r="C23" s="12">
        <v>-29.3</v>
      </c>
      <c r="D23" s="10">
        <v>-19.633333333333333</v>
      </c>
      <c r="E23" s="11">
        <v>4.2666666666666666</v>
      </c>
      <c r="F23" s="12">
        <v>11.19</v>
      </c>
      <c r="G23" s="9">
        <v>61</v>
      </c>
      <c r="H23" s="13">
        <v>0.199369143705353</v>
      </c>
      <c r="I23">
        <v>0</v>
      </c>
      <c r="J23" s="14">
        <v>5710.7</v>
      </c>
      <c r="K23" s="32">
        <v>0</v>
      </c>
      <c r="L23" s="28">
        <v>1297.7</v>
      </c>
      <c r="M23" s="12">
        <v>-39.1</v>
      </c>
      <c r="N23" s="10">
        <v>-24.166666666666668</v>
      </c>
      <c r="O23" s="11">
        <v>7.666666666666667</v>
      </c>
      <c r="P23" s="12">
        <v>13.91</v>
      </c>
      <c r="Q23" s="9">
        <v>61</v>
      </c>
      <c r="R23" s="13">
        <v>0.18782897774494411</v>
      </c>
      <c r="S23">
        <v>0</v>
      </c>
      <c r="T23" s="14">
        <v>5667</v>
      </c>
      <c r="U23" s="32">
        <v>1</v>
      </c>
      <c r="V23" s="28">
        <v>1216.0999999999999</v>
      </c>
      <c r="W23" s="12">
        <v>-42.3</v>
      </c>
      <c r="X23" s="10">
        <v>-26.666666666666668</v>
      </c>
      <c r="Y23" s="11">
        <v>11.200000000000001</v>
      </c>
      <c r="Z23" s="12">
        <v>15.96</v>
      </c>
      <c r="AA23" s="9">
        <v>61</v>
      </c>
      <c r="AB23" s="13">
        <v>0.17247558462503362</v>
      </c>
      <c r="AC23">
        <v>0</v>
      </c>
      <c r="AD23" s="14">
        <v>5952.3</v>
      </c>
      <c r="AE23" s="32">
        <v>1</v>
      </c>
    </row>
    <row r="24" spans="1:31" x14ac:dyDescent="0.3">
      <c r="A24" s="23" t="s">
        <v>26</v>
      </c>
      <c r="B24" s="8">
        <v>1338.5</v>
      </c>
      <c r="C24" s="12">
        <v>-20.7</v>
      </c>
      <c r="D24" s="10">
        <v>-14.466666666666669</v>
      </c>
      <c r="E24" s="11">
        <v>1.1333333333333335</v>
      </c>
      <c r="F24" s="12">
        <v>3.46</v>
      </c>
      <c r="G24" s="9">
        <v>65.5</v>
      </c>
      <c r="H24" s="13">
        <v>0.21251778093883356</v>
      </c>
      <c r="I24">
        <v>0</v>
      </c>
      <c r="J24" s="14">
        <v>5710.8</v>
      </c>
      <c r="K24" s="32">
        <v>0</v>
      </c>
      <c r="L24" s="28">
        <v>1445.9</v>
      </c>
      <c r="M24" s="12">
        <v>-29.3</v>
      </c>
      <c r="N24" s="10">
        <v>-19.633333333333333</v>
      </c>
      <c r="O24" s="11">
        <v>4.2666666666666666</v>
      </c>
      <c r="P24" s="12">
        <v>11.19</v>
      </c>
      <c r="Q24" s="9">
        <v>61</v>
      </c>
      <c r="R24" s="13">
        <v>0.199369143705353</v>
      </c>
      <c r="S24">
        <v>0</v>
      </c>
      <c r="T24" s="14">
        <v>5710.7</v>
      </c>
      <c r="U24" s="32">
        <v>0</v>
      </c>
      <c r="V24" s="28">
        <v>1297.7</v>
      </c>
      <c r="W24" s="12">
        <v>-39.1</v>
      </c>
      <c r="X24" s="10">
        <v>-24.166666666666668</v>
      </c>
      <c r="Y24" s="11">
        <v>7.666666666666667</v>
      </c>
      <c r="Z24" s="12">
        <v>13.91</v>
      </c>
      <c r="AA24" s="9">
        <v>61</v>
      </c>
      <c r="AB24" s="13">
        <v>0.18782897774494411</v>
      </c>
      <c r="AC24">
        <v>0</v>
      </c>
      <c r="AD24" s="14">
        <v>5667</v>
      </c>
      <c r="AE24" s="32">
        <v>1</v>
      </c>
    </row>
    <row r="25" spans="1:31" x14ac:dyDescent="0.3">
      <c r="A25" s="23" t="s">
        <v>27</v>
      </c>
      <c r="B25" s="8">
        <v>1599.2</v>
      </c>
      <c r="C25" s="12">
        <v>-11.5</v>
      </c>
      <c r="D25" s="10">
        <v>-7.3</v>
      </c>
      <c r="E25" s="11">
        <v>-1.1333333333333333</v>
      </c>
      <c r="F25" s="12">
        <v>2.15</v>
      </c>
      <c r="G25" s="9">
        <v>65.5</v>
      </c>
      <c r="H25" s="13">
        <v>0.20385961593037558</v>
      </c>
      <c r="I25">
        <v>0</v>
      </c>
      <c r="J25" s="14">
        <v>5668.4</v>
      </c>
      <c r="K25" s="32">
        <v>1</v>
      </c>
      <c r="L25" s="28">
        <v>1338.5</v>
      </c>
      <c r="M25" s="12">
        <v>-20.7</v>
      </c>
      <c r="N25" s="10">
        <v>-14.466666666666669</v>
      </c>
      <c r="O25" s="11">
        <v>1.1333333333333335</v>
      </c>
      <c r="P25" s="12">
        <v>3.46</v>
      </c>
      <c r="Q25" s="9">
        <v>65.5</v>
      </c>
      <c r="R25" s="13">
        <v>0.21251778093883356</v>
      </c>
      <c r="S25">
        <v>0</v>
      </c>
      <c r="T25" s="14">
        <v>5710.8</v>
      </c>
      <c r="U25" s="32">
        <v>0</v>
      </c>
      <c r="V25" s="28">
        <v>1445.9</v>
      </c>
      <c r="W25" s="12">
        <v>-29.3</v>
      </c>
      <c r="X25" s="10">
        <v>-19.633333333333333</v>
      </c>
      <c r="Y25" s="11">
        <v>4.2666666666666666</v>
      </c>
      <c r="Z25" s="12">
        <v>11.19</v>
      </c>
      <c r="AA25" s="9">
        <v>61</v>
      </c>
      <c r="AB25" s="13">
        <v>0.199369143705353</v>
      </c>
      <c r="AC25">
        <v>0</v>
      </c>
      <c r="AD25" s="14">
        <v>5710.7</v>
      </c>
      <c r="AE25" s="32">
        <v>0</v>
      </c>
    </row>
    <row r="26" spans="1:31" x14ac:dyDescent="0.3">
      <c r="A26" s="23" t="s">
        <v>28</v>
      </c>
      <c r="B26" s="8">
        <v>1835.4</v>
      </c>
      <c r="C26" s="12">
        <v>-7.7</v>
      </c>
      <c r="D26" s="10">
        <v>-5.666666666666667</v>
      </c>
      <c r="E26" s="11">
        <v>-1.9333333333333333</v>
      </c>
      <c r="F26" s="12">
        <v>1.41</v>
      </c>
      <c r="G26" s="9">
        <v>65.5</v>
      </c>
      <c r="H26" s="13">
        <v>0.18532420005630101</v>
      </c>
      <c r="I26">
        <v>0</v>
      </c>
      <c r="J26" s="14">
        <v>5653.2</v>
      </c>
      <c r="K26" s="32">
        <v>1</v>
      </c>
      <c r="L26" s="28">
        <v>1599.2</v>
      </c>
      <c r="M26" s="12">
        <v>-11.5</v>
      </c>
      <c r="N26" s="10">
        <v>-7.3</v>
      </c>
      <c r="O26" s="11">
        <v>-1.1333333333333333</v>
      </c>
      <c r="P26" s="12">
        <v>2.15</v>
      </c>
      <c r="Q26" s="9">
        <v>65.5</v>
      </c>
      <c r="R26" s="13">
        <v>0.20385961593037558</v>
      </c>
      <c r="S26">
        <v>0</v>
      </c>
      <c r="T26" s="14">
        <v>5668.4</v>
      </c>
      <c r="U26" s="32">
        <v>1</v>
      </c>
      <c r="V26" s="28">
        <v>1338.5</v>
      </c>
      <c r="W26" s="12">
        <v>-20.7</v>
      </c>
      <c r="X26" s="10">
        <v>-14.466666666666669</v>
      </c>
      <c r="Y26" s="11">
        <v>1.1333333333333335</v>
      </c>
      <c r="Z26" s="12">
        <v>3.46</v>
      </c>
      <c r="AA26" s="9">
        <v>65.5</v>
      </c>
      <c r="AB26" s="13">
        <v>0.21251778093883356</v>
      </c>
      <c r="AC26">
        <v>0</v>
      </c>
      <c r="AD26" s="14">
        <v>5710.8</v>
      </c>
      <c r="AE26" s="32">
        <v>0</v>
      </c>
    </row>
    <row r="27" spans="1:31" x14ac:dyDescent="0.3">
      <c r="A27" s="23" t="s">
        <v>29</v>
      </c>
      <c r="B27" s="8">
        <v>1907.1</v>
      </c>
      <c r="C27" s="12">
        <v>-2.4</v>
      </c>
      <c r="D27" s="10">
        <v>-6.2333333333333334</v>
      </c>
      <c r="E27" s="11">
        <v>-1.5</v>
      </c>
      <c r="F27" s="12">
        <v>1</v>
      </c>
      <c r="G27" s="9">
        <v>65.5</v>
      </c>
      <c r="H27" s="13">
        <v>0.17764851721178601</v>
      </c>
      <c r="I27">
        <v>0</v>
      </c>
      <c r="J27" s="14">
        <v>5712.5</v>
      </c>
      <c r="K27" s="32">
        <v>0</v>
      </c>
      <c r="L27" s="28">
        <v>1835.4</v>
      </c>
      <c r="M27" s="12">
        <v>-7.7</v>
      </c>
      <c r="N27" s="10">
        <v>-5.666666666666667</v>
      </c>
      <c r="O27" s="11">
        <v>-1.9333333333333333</v>
      </c>
      <c r="P27" s="12">
        <v>1.41</v>
      </c>
      <c r="Q27" s="9">
        <v>65.5</v>
      </c>
      <c r="R27" s="13">
        <v>0.18532420005630101</v>
      </c>
      <c r="S27">
        <v>0</v>
      </c>
      <c r="T27" s="14">
        <v>5653.2</v>
      </c>
      <c r="U27" s="32">
        <v>1</v>
      </c>
      <c r="V27" s="28">
        <v>1599.2</v>
      </c>
      <c r="W27" s="12">
        <v>-11.5</v>
      </c>
      <c r="X27" s="10">
        <v>-7.3</v>
      </c>
      <c r="Y27" s="11">
        <v>-1.1333333333333333</v>
      </c>
      <c r="Z27" s="12">
        <v>2.15</v>
      </c>
      <c r="AA27" s="9">
        <v>65.5</v>
      </c>
      <c r="AB27" s="13">
        <v>0.20385961593037558</v>
      </c>
      <c r="AC27">
        <v>0</v>
      </c>
      <c r="AD27" s="14">
        <v>5668.4</v>
      </c>
      <c r="AE27" s="32">
        <v>1</v>
      </c>
    </row>
    <row r="28" spans="1:31" x14ac:dyDescent="0.3">
      <c r="A28" s="23" t="s">
        <v>30</v>
      </c>
      <c r="B28" s="8">
        <v>1890.3</v>
      </c>
      <c r="C28" s="12">
        <v>10.8</v>
      </c>
      <c r="D28" s="10">
        <v>-7.0666666666666664</v>
      </c>
      <c r="E28" s="11">
        <v>0</v>
      </c>
      <c r="F28" s="12">
        <v>0.86</v>
      </c>
      <c r="G28" s="9">
        <v>67.7</v>
      </c>
      <c r="H28" s="13">
        <v>0.17629089475758772</v>
      </c>
      <c r="I28">
        <v>0</v>
      </c>
      <c r="J28" s="14">
        <v>5677.8</v>
      </c>
      <c r="K28" s="32">
        <v>0</v>
      </c>
      <c r="L28" s="28">
        <v>1907.1</v>
      </c>
      <c r="M28" s="12">
        <v>-2.4</v>
      </c>
      <c r="N28" s="10">
        <v>-6.2333333333333334</v>
      </c>
      <c r="O28" s="11">
        <v>-1.5</v>
      </c>
      <c r="P28" s="12">
        <v>1</v>
      </c>
      <c r="Q28" s="9">
        <v>65.5</v>
      </c>
      <c r="R28" s="13">
        <v>0.17764851721178601</v>
      </c>
      <c r="S28">
        <v>0</v>
      </c>
      <c r="T28" s="14">
        <v>5712.5</v>
      </c>
      <c r="U28" s="32">
        <v>0</v>
      </c>
      <c r="V28" s="28">
        <v>1835.4</v>
      </c>
      <c r="W28" s="12">
        <v>-7.7</v>
      </c>
      <c r="X28" s="10">
        <v>-5.666666666666667</v>
      </c>
      <c r="Y28" s="11">
        <v>-1.9333333333333333</v>
      </c>
      <c r="Z28" s="12">
        <v>1.41</v>
      </c>
      <c r="AA28" s="9">
        <v>65.5</v>
      </c>
      <c r="AB28" s="13">
        <v>0.18532420005630101</v>
      </c>
      <c r="AC28">
        <v>0</v>
      </c>
      <c r="AD28" s="14">
        <v>5653.2</v>
      </c>
      <c r="AE28" s="32">
        <v>1</v>
      </c>
    </row>
    <row r="29" spans="1:31" x14ac:dyDescent="0.3">
      <c r="A29" s="23" t="s">
        <v>31</v>
      </c>
      <c r="B29" s="8">
        <v>2120.1</v>
      </c>
      <c r="C29" s="12">
        <v>12.3</v>
      </c>
      <c r="D29" s="10">
        <v>-5.166666666666667</v>
      </c>
      <c r="E29" s="11">
        <v>1.8666666666666665</v>
      </c>
      <c r="F29" s="12">
        <v>0.77</v>
      </c>
      <c r="G29" s="9">
        <v>67.7</v>
      </c>
      <c r="H29" s="13">
        <v>0.17117204093454336</v>
      </c>
      <c r="I29">
        <v>0</v>
      </c>
      <c r="J29" s="14">
        <v>5834.5</v>
      </c>
      <c r="K29" s="32">
        <v>0</v>
      </c>
      <c r="L29" s="28">
        <v>1890.3</v>
      </c>
      <c r="M29" s="12">
        <v>10.8</v>
      </c>
      <c r="N29" s="10">
        <v>-7.0666666666666664</v>
      </c>
      <c r="O29" s="11">
        <v>0</v>
      </c>
      <c r="P29" s="12">
        <v>0.86</v>
      </c>
      <c r="Q29" s="9">
        <v>67.7</v>
      </c>
      <c r="R29" s="13">
        <v>0.17629089475758772</v>
      </c>
      <c r="S29">
        <v>0</v>
      </c>
      <c r="T29" s="14">
        <v>5677.8</v>
      </c>
      <c r="U29" s="32">
        <v>0</v>
      </c>
      <c r="V29" s="28">
        <v>1907.1</v>
      </c>
      <c r="W29" s="12">
        <v>-2.4</v>
      </c>
      <c r="X29" s="10">
        <v>-6.2333333333333334</v>
      </c>
      <c r="Y29" s="11">
        <v>-1.5</v>
      </c>
      <c r="Z29" s="12">
        <v>1</v>
      </c>
      <c r="AA29" s="9">
        <v>65.5</v>
      </c>
      <c r="AB29" s="13">
        <v>0.17764851721178601</v>
      </c>
      <c r="AC29">
        <v>0</v>
      </c>
      <c r="AD29" s="14">
        <v>5712.5</v>
      </c>
      <c r="AE29" s="32">
        <v>0</v>
      </c>
    </row>
    <row r="30" spans="1:31" x14ac:dyDescent="0.3">
      <c r="A30" s="23" t="s">
        <v>32</v>
      </c>
      <c r="B30" s="8">
        <v>2234.3000000000002</v>
      </c>
      <c r="C30" s="12">
        <v>13</v>
      </c>
      <c r="D30" s="10">
        <v>-4.333333333333333</v>
      </c>
      <c r="E30" s="11">
        <v>3.2666666666666662</v>
      </c>
      <c r="F30" s="12">
        <v>0.84</v>
      </c>
      <c r="G30" s="9">
        <v>67.7</v>
      </c>
      <c r="H30" s="13">
        <v>0.15080058224163029</v>
      </c>
      <c r="I30">
        <v>0</v>
      </c>
      <c r="J30" s="14">
        <v>5935.2</v>
      </c>
      <c r="K30" s="32">
        <v>0</v>
      </c>
      <c r="L30" s="28">
        <v>2120.1</v>
      </c>
      <c r="M30" s="12">
        <v>12.3</v>
      </c>
      <c r="N30" s="10">
        <v>-5.166666666666667</v>
      </c>
      <c r="O30" s="11">
        <v>1.8666666666666665</v>
      </c>
      <c r="P30" s="12">
        <v>0.77</v>
      </c>
      <c r="Q30" s="9">
        <v>67.7</v>
      </c>
      <c r="R30" s="13">
        <v>0.17117204093454336</v>
      </c>
      <c r="S30">
        <v>0</v>
      </c>
      <c r="T30" s="14">
        <v>5834.5</v>
      </c>
      <c r="U30" s="32">
        <v>0</v>
      </c>
      <c r="V30" s="28">
        <v>1890.3</v>
      </c>
      <c r="W30" s="12">
        <v>10.8</v>
      </c>
      <c r="X30" s="10">
        <v>-7.0666666666666664</v>
      </c>
      <c r="Y30" s="11">
        <v>0</v>
      </c>
      <c r="Z30" s="12">
        <v>0.86</v>
      </c>
      <c r="AA30" s="9">
        <v>67.7</v>
      </c>
      <c r="AB30" s="13">
        <v>0.17629089475758772</v>
      </c>
      <c r="AC30">
        <v>0</v>
      </c>
      <c r="AD30" s="14">
        <v>5677.8</v>
      </c>
      <c r="AE30" s="32">
        <v>0</v>
      </c>
    </row>
    <row r="31" spans="1:31" x14ac:dyDescent="0.3">
      <c r="A31" s="23" t="s">
        <v>33</v>
      </c>
      <c r="B31" s="8">
        <v>2290.4</v>
      </c>
      <c r="C31" s="12">
        <v>5.8</v>
      </c>
      <c r="D31" s="10">
        <v>-4.9666666666666668</v>
      </c>
      <c r="E31" s="11">
        <v>4.0666666666666664</v>
      </c>
      <c r="F31" s="12">
        <v>1.37</v>
      </c>
      <c r="G31" s="9">
        <v>67.7</v>
      </c>
      <c r="H31" s="13">
        <v>0.15022291141694127</v>
      </c>
      <c r="I31">
        <v>0</v>
      </c>
      <c r="J31" s="14">
        <v>5963.4</v>
      </c>
      <c r="K31" s="32">
        <v>0</v>
      </c>
      <c r="L31" s="28">
        <v>2234.3000000000002</v>
      </c>
      <c r="M31" s="12">
        <v>13</v>
      </c>
      <c r="N31" s="10">
        <v>-4.333333333333333</v>
      </c>
      <c r="O31" s="11">
        <v>3.2666666666666662</v>
      </c>
      <c r="P31" s="12">
        <v>0.84</v>
      </c>
      <c r="Q31" s="9">
        <v>67.7</v>
      </c>
      <c r="R31" s="13">
        <v>0.15080058224163029</v>
      </c>
      <c r="S31">
        <v>0</v>
      </c>
      <c r="T31" s="14">
        <v>5935.2</v>
      </c>
      <c r="U31" s="32">
        <v>0</v>
      </c>
      <c r="V31" s="28">
        <v>2120.1</v>
      </c>
      <c r="W31" s="12">
        <v>12.3</v>
      </c>
      <c r="X31" s="10">
        <v>-5.166666666666667</v>
      </c>
      <c r="Y31" s="11">
        <v>1.8666666666666665</v>
      </c>
      <c r="Z31" s="12">
        <v>0.77</v>
      </c>
      <c r="AA31" s="9">
        <v>67.7</v>
      </c>
      <c r="AB31" s="13">
        <v>0.17117204093454336</v>
      </c>
      <c r="AC31">
        <v>0</v>
      </c>
      <c r="AD31" s="14">
        <v>5834.5</v>
      </c>
      <c r="AE31" s="32">
        <v>0</v>
      </c>
    </row>
    <row r="32" spans="1:31" x14ac:dyDescent="0.3">
      <c r="A32" s="23" t="s">
        <v>34</v>
      </c>
      <c r="B32" s="8">
        <v>2160.9</v>
      </c>
      <c r="C32" s="12">
        <v>2.6</v>
      </c>
      <c r="D32" s="10">
        <v>-4.5666666666666664</v>
      </c>
      <c r="E32" s="11">
        <v>4.166666666666667</v>
      </c>
      <c r="F32" s="12">
        <v>1.43</v>
      </c>
      <c r="G32" s="9">
        <v>64.099999999999994</v>
      </c>
      <c r="H32" s="13">
        <v>0.16331360946745563</v>
      </c>
      <c r="I32">
        <v>0</v>
      </c>
      <c r="J32" s="14">
        <v>6277.8</v>
      </c>
      <c r="K32" s="32">
        <v>0</v>
      </c>
      <c r="L32" s="28">
        <v>2290.4</v>
      </c>
      <c r="M32" s="12">
        <v>5.8</v>
      </c>
      <c r="N32" s="10">
        <v>-4.9666666666666668</v>
      </c>
      <c r="O32" s="11">
        <v>4.0666666666666664</v>
      </c>
      <c r="P32" s="12">
        <v>1.37</v>
      </c>
      <c r="Q32" s="9">
        <v>67.7</v>
      </c>
      <c r="R32" s="13">
        <v>0.15022291141694127</v>
      </c>
      <c r="S32">
        <v>0</v>
      </c>
      <c r="T32" s="14">
        <v>5963.4</v>
      </c>
      <c r="U32" s="32">
        <v>0</v>
      </c>
      <c r="V32" s="28">
        <v>2234.3000000000002</v>
      </c>
      <c r="W32" s="12">
        <v>13</v>
      </c>
      <c r="X32" s="10">
        <v>-4.333333333333333</v>
      </c>
      <c r="Y32" s="11">
        <v>3.2666666666666662</v>
      </c>
      <c r="Z32" s="12">
        <v>0.84</v>
      </c>
      <c r="AA32" s="9">
        <v>67.7</v>
      </c>
      <c r="AB32" s="13">
        <v>0.15080058224163029</v>
      </c>
      <c r="AC32">
        <v>0</v>
      </c>
      <c r="AD32" s="14">
        <v>5935.2</v>
      </c>
      <c r="AE32" s="32">
        <v>0</v>
      </c>
    </row>
    <row r="33" spans="1:31" x14ac:dyDescent="0.3">
      <c r="A33" s="23" t="s">
        <v>35</v>
      </c>
      <c r="B33" s="8">
        <v>2299.9</v>
      </c>
      <c r="C33" s="12">
        <v>2</v>
      </c>
      <c r="D33" s="10">
        <v>-4.4333333333333336</v>
      </c>
      <c r="E33" s="11">
        <v>3.7333333333333329</v>
      </c>
      <c r="F33" s="12">
        <v>0.95</v>
      </c>
      <c r="G33" s="9">
        <v>64.099999999999994</v>
      </c>
      <c r="H33" s="13">
        <v>0.16277047913446677</v>
      </c>
      <c r="I33">
        <v>0</v>
      </c>
      <c r="J33" s="14">
        <v>6245.5</v>
      </c>
      <c r="K33" s="32">
        <v>0</v>
      </c>
      <c r="L33" s="28">
        <v>2160.9</v>
      </c>
      <c r="M33" s="12">
        <v>2.6</v>
      </c>
      <c r="N33" s="10">
        <v>-4.5666666666666664</v>
      </c>
      <c r="O33" s="11">
        <v>4.166666666666667</v>
      </c>
      <c r="P33" s="12">
        <v>1.43</v>
      </c>
      <c r="Q33" s="9">
        <v>64.099999999999994</v>
      </c>
      <c r="R33" s="13">
        <v>0.16331360946745563</v>
      </c>
      <c r="S33">
        <v>0</v>
      </c>
      <c r="T33" s="14">
        <v>6277.8</v>
      </c>
      <c r="U33" s="32">
        <v>0</v>
      </c>
      <c r="V33" s="28">
        <v>2290.4</v>
      </c>
      <c r="W33" s="12">
        <v>5.8</v>
      </c>
      <c r="X33" s="10">
        <v>-4.9666666666666668</v>
      </c>
      <c r="Y33" s="11">
        <v>4.0666666666666664</v>
      </c>
      <c r="Z33" s="12">
        <v>1.37</v>
      </c>
      <c r="AA33" s="9">
        <v>67.7</v>
      </c>
      <c r="AB33" s="13">
        <v>0.15022291141694127</v>
      </c>
      <c r="AC33">
        <v>0</v>
      </c>
      <c r="AD33" s="14">
        <v>5963.4</v>
      </c>
      <c r="AE33" s="32">
        <v>0</v>
      </c>
    </row>
    <row r="34" spans="1:31" x14ac:dyDescent="0.3">
      <c r="A34" s="35" t="s">
        <v>36</v>
      </c>
      <c r="B34" s="8">
        <v>2623.3</v>
      </c>
      <c r="C34" s="16">
        <v>1.3</v>
      </c>
      <c r="D34" s="10">
        <v>-3.8000000000000003</v>
      </c>
      <c r="E34" s="11">
        <v>3.1</v>
      </c>
      <c r="F34" s="16">
        <v>0.65</v>
      </c>
      <c r="G34" s="17">
        <v>64.099999999999994</v>
      </c>
      <c r="H34" s="18">
        <v>0.13680656054027979</v>
      </c>
      <c r="I34">
        <v>0</v>
      </c>
      <c r="J34" s="14">
        <v>6289.1</v>
      </c>
      <c r="K34" s="32">
        <v>0</v>
      </c>
      <c r="L34" s="28">
        <v>2299.9</v>
      </c>
      <c r="M34" s="12">
        <v>2</v>
      </c>
      <c r="N34" s="10">
        <v>-4.4333333333333336</v>
      </c>
      <c r="O34" s="11">
        <v>3.7333333333333329</v>
      </c>
      <c r="P34" s="12">
        <v>0.95</v>
      </c>
      <c r="Q34" s="9">
        <v>64.099999999999994</v>
      </c>
      <c r="R34" s="13">
        <v>0.16277047913446677</v>
      </c>
      <c r="S34">
        <v>0</v>
      </c>
      <c r="T34" s="14">
        <v>6245.5</v>
      </c>
      <c r="U34" s="32">
        <v>0</v>
      </c>
      <c r="V34" s="28">
        <v>2160.9</v>
      </c>
      <c r="W34" s="12">
        <v>2.6</v>
      </c>
      <c r="X34" s="10">
        <v>-4.5666666666666664</v>
      </c>
      <c r="Y34" s="11">
        <v>4.166666666666667</v>
      </c>
      <c r="Z34" s="12">
        <v>1.43</v>
      </c>
      <c r="AA34" s="9">
        <v>64.099999999999994</v>
      </c>
      <c r="AB34" s="13">
        <v>0.16331360946745563</v>
      </c>
      <c r="AC34">
        <v>0</v>
      </c>
      <c r="AD34" s="14">
        <v>6277.8</v>
      </c>
      <c r="AE34" s="32">
        <v>0</v>
      </c>
    </row>
    <row r="35" spans="1:31" x14ac:dyDescent="0.3">
      <c r="A35" s="35" t="s">
        <v>37</v>
      </c>
      <c r="B35" s="8">
        <v>2787</v>
      </c>
      <c r="C35" s="16">
        <v>6.1</v>
      </c>
      <c r="D35" s="10">
        <v>-3.0333333333333337</v>
      </c>
      <c r="E35" s="11">
        <v>2.5</v>
      </c>
      <c r="F35" s="16">
        <v>0.53</v>
      </c>
      <c r="G35" s="17">
        <v>64.099999999999994</v>
      </c>
      <c r="H35" s="18">
        <v>0.13931739298110296</v>
      </c>
      <c r="I35">
        <v>0</v>
      </c>
      <c r="J35" s="14">
        <v>6321.6</v>
      </c>
      <c r="K35" s="32">
        <v>0</v>
      </c>
      <c r="L35" s="28">
        <v>2623.3</v>
      </c>
      <c r="M35" s="16">
        <v>1.3</v>
      </c>
      <c r="N35" s="10">
        <v>-3.8000000000000003</v>
      </c>
      <c r="O35" s="11">
        <v>3.1</v>
      </c>
      <c r="P35" s="16">
        <v>0.65</v>
      </c>
      <c r="Q35" s="17">
        <v>64.099999999999994</v>
      </c>
      <c r="R35" s="18">
        <v>0.13680656054027979</v>
      </c>
      <c r="S35">
        <v>0</v>
      </c>
      <c r="T35" s="14">
        <v>6289.1</v>
      </c>
      <c r="U35" s="32">
        <v>0</v>
      </c>
      <c r="V35" s="28">
        <v>2299.9</v>
      </c>
      <c r="W35" s="12">
        <v>2</v>
      </c>
      <c r="X35" s="10">
        <v>-4.4333333333333336</v>
      </c>
      <c r="Y35" s="11">
        <v>3.7333333333333329</v>
      </c>
      <c r="Z35" s="12">
        <v>0.95</v>
      </c>
      <c r="AA35" s="9">
        <v>64.099999999999994</v>
      </c>
      <c r="AB35" s="13">
        <v>0.16277047913446677</v>
      </c>
      <c r="AC35">
        <v>0</v>
      </c>
      <c r="AD35" s="14">
        <v>6245.5</v>
      </c>
      <c r="AE35" s="32">
        <v>0</v>
      </c>
    </row>
    <row r="36" spans="1:31" x14ac:dyDescent="0.3">
      <c r="A36" s="35" t="s">
        <v>38</v>
      </c>
      <c r="B36" s="8">
        <v>2337.5</v>
      </c>
      <c r="C36" s="16">
        <v>4.8</v>
      </c>
      <c r="D36" s="10">
        <v>-3.4</v>
      </c>
      <c r="E36" s="11">
        <v>1.8333333333333333</v>
      </c>
      <c r="F36" s="16">
        <v>0.49</v>
      </c>
      <c r="G36" s="17">
        <v>55.7</v>
      </c>
      <c r="H36" s="18">
        <v>0.12997924285855489</v>
      </c>
      <c r="I36">
        <v>0</v>
      </c>
      <c r="J36" s="14">
        <v>6326.1</v>
      </c>
      <c r="K36" s="32">
        <v>0</v>
      </c>
      <c r="L36" s="28">
        <v>2787</v>
      </c>
      <c r="M36" s="16">
        <v>6.1</v>
      </c>
      <c r="N36" s="10">
        <v>-3.0333333333333337</v>
      </c>
      <c r="O36" s="11">
        <v>2.5</v>
      </c>
      <c r="P36" s="16">
        <v>0.53</v>
      </c>
      <c r="Q36" s="17">
        <v>64.099999999999994</v>
      </c>
      <c r="R36" s="18">
        <v>0.13931739298110296</v>
      </c>
      <c r="S36">
        <v>0</v>
      </c>
      <c r="T36" s="14">
        <v>6321.6</v>
      </c>
      <c r="U36" s="32">
        <v>0</v>
      </c>
      <c r="V36" s="28">
        <v>2623.3</v>
      </c>
      <c r="W36" s="16">
        <v>1.3</v>
      </c>
      <c r="X36" s="10">
        <v>-3.8000000000000003</v>
      </c>
      <c r="Y36" s="11">
        <v>3.1</v>
      </c>
      <c r="Z36" s="16">
        <v>0.65</v>
      </c>
      <c r="AA36" s="17">
        <v>64.099999999999994</v>
      </c>
      <c r="AB36" s="18">
        <v>0.13680656054027979</v>
      </c>
      <c r="AC36">
        <v>0</v>
      </c>
      <c r="AD36" s="14">
        <v>6289.1</v>
      </c>
      <c r="AE36" s="32">
        <v>0</v>
      </c>
    </row>
    <row r="37" spans="1:31" x14ac:dyDescent="0.3">
      <c r="A37" s="35" t="s">
        <v>39</v>
      </c>
      <c r="B37" s="8">
        <v>2421.6</v>
      </c>
      <c r="C37" s="16">
        <v>7.9</v>
      </c>
      <c r="D37" s="10">
        <v>-3.6666666666666665</v>
      </c>
      <c r="E37" s="11">
        <v>1.1000000000000001</v>
      </c>
      <c r="F37" s="16">
        <v>0.41</v>
      </c>
      <c r="G37" s="17">
        <v>55.7</v>
      </c>
      <c r="H37" s="18">
        <v>0.11427717445451828</v>
      </c>
      <c r="I37">
        <v>0</v>
      </c>
      <c r="J37" s="14">
        <v>6373.3</v>
      </c>
      <c r="K37" s="32">
        <v>0</v>
      </c>
      <c r="L37" s="28">
        <v>2337.5</v>
      </c>
      <c r="M37" s="16">
        <v>4.8</v>
      </c>
      <c r="N37" s="10">
        <v>-3.4</v>
      </c>
      <c r="O37" s="11">
        <v>1.8333333333333333</v>
      </c>
      <c r="P37" s="16">
        <v>0.49</v>
      </c>
      <c r="Q37" s="17">
        <v>55.7</v>
      </c>
      <c r="R37" s="18">
        <v>0.12997924285855489</v>
      </c>
      <c r="S37">
        <v>0</v>
      </c>
      <c r="T37" s="14">
        <v>6326.1</v>
      </c>
      <c r="U37" s="32">
        <v>0</v>
      </c>
      <c r="V37" s="28">
        <v>2787</v>
      </c>
      <c r="W37" s="16">
        <v>6.1</v>
      </c>
      <c r="X37" s="10">
        <v>-3.0333333333333337</v>
      </c>
      <c r="Y37" s="11">
        <v>2.5</v>
      </c>
      <c r="Z37" s="16">
        <v>0.53</v>
      </c>
      <c r="AA37" s="17">
        <v>64.099999999999994</v>
      </c>
      <c r="AB37" s="18">
        <v>0.13931739298110296</v>
      </c>
      <c r="AC37">
        <v>0</v>
      </c>
      <c r="AD37" s="14">
        <v>6321.6</v>
      </c>
      <c r="AE37" s="32">
        <v>0</v>
      </c>
    </row>
    <row r="38" spans="1:31" x14ac:dyDescent="0.3">
      <c r="A38" s="35" t="s">
        <v>40</v>
      </c>
      <c r="B38" s="8">
        <v>2550.1</v>
      </c>
      <c r="C38" s="16">
        <v>6.5</v>
      </c>
      <c r="D38" s="10">
        <v>-2.5333333333333332</v>
      </c>
      <c r="E38" s="11">
        <v>0.66666666666666663</v>
      </c>
      <c r="F38" s="16">
        <v>0.3</v>
      </c>
      <c r="G38" s="17">
        <v>55.7</v>
      </c>
      <c r="H38" s="18">
        <v>0.11773298276365761</v>
      </c>
      <c r="I38">
        <v>0</v>
      </c>
      <c r="J38" s="14">
        <v>6458.9</v>
      </c>
      <c r="K38" s="32">
        <v>0</v>
      </c>
      <c r="L38" s="28">
        <v>2421.6</v>
      </c>
      <c r="M38" s="16">
        <v>7.9</v>
      </c>
      <c r="N38" s="10">
        <v>-3.6666666666666665</v>
      </c>
      <c r="O38" s="11">
        <v>1.1000000000000001</v>
      </c>
      <c r="P38" s="16">
        <v>0.41</v>
      </c>
      <c r="Q38" s="17">
        <v>55.7</v>
      </c>
      <c r="R38" s="18">
        <v>0.11427717445451828</v>
      </c>
      <c r="S38">
        <v>0</v>
      </c>
      <c r="T38" s="14">
        <v>6373.3</v>
      </c>
      <c r="U38" s="32">
        <v>0</v>
      </c>
      <c r="V38" s="28">
        <v>2337.5</v>
      </c>
      <c r="W38" s="16">
        <v>4.8</v>
      </c>
      <c r="X38" s="10">
        <v>-3.4</v>
      </c>
      <c r="Y38" s="11">
        <v>1.8333333333333333</v>
      </c>
      <c r="Z38" s="16">
        <v>0.49</v>
      </c>
      <c r="AA38" s="17">
        <v>55.7</v>
      </c>
      <c r="AB38" s="18">
        <v>0.12997924285855489</v>
      </c>
      <c r="AC38">
        <v>0</v>
      </c>
      <c r="AD38" s="14">
        <v>6326.1</v>
      </c>
      <c r="AE38" s="32">
        <v>0</v>
      </c>
    </row>
    <row r="39" spans="1:31" x14ac:dyDescent="0.3">
      <c r="A39" s="35" t="s">
        <v>41</v>
      </c>
      <c r="B39" s="8">
        <v>2712.1</v>
      </c>
      <c r="C39" s="16">
        <v>8.1999999999999993</v>
      </c>
      <c r="D39" s="10">
        <v>-2.7666666666666671</v>
      </c>
      <c r="E39" s="11">
        <v>0.16666666666666666</v>
      </c>
      <c r="F39" s="16">
        <v>0.26</v>
      </c>
      <c r="G39" s="17">
        <v>55.7</v>
      </c>
      <c r="H39" s="18">
        <v>0.11274268256627575</v>
      </c>
      <c r="I39">
        <v>0</v>
      </c>
      <c r="J39" s="14">
        <v>6489.4</v>
      </c>
      <c r="K39" s="32">
        <v>0</v>
      </c>
      <c r="L39" s="28">
        <v>2550.1</v>
      </c>
      <c r="M39" s="16">
        <v>6.5</v>
      </c>
      <c r="N39" s="10">
        <v>-2.5333333333333332</v>
      </c>
      <c r="O39" s="11">
        <v>0.66666666666666663</v>
      </c>
      <c r="P39" s="16">
        <v>0.3</v>
      </c>
      <c r="Q39" s="17">
        <v>55.7</v>
      </c>
      <c r="R39" s="18">
        <v>0.11773298276365761</v>
      </c>
      <c r="S39">
        <v>0</v>
      </c>
      <c r="T39" s="14">
        <v>6458.9</v>
      </c>
      <c r="U39" s="32">
        <v>0</v>
      </c>
      <c r="V39" s="28">
        <v>2421.6</v>
      </c>
      <c r="W39" s="16">
        <v>7.9</v>
      </c>
      <c r="X39" s="10">
        <v>-3.6666666666666665</v>
      </c>
      <c r="Y39" s="11">
        <v>1.1000000000000001</v>
      </c>
      <c r="Z39" s="16">
        <v>0.41</v>
      </c>
      <c r="AA39" s="17">
        <v>55.7</v>
      </c>
      <c r="AB39" s="18">
        <v>0.11427717445451828</v>
      </c>
      <c r="AC39">
        <v>0</v>
      </c>
      <c r="AD39" s="14">
        <v>6373.3</v>
      </c>
      <c r="AE39" s="32">
        <v>0</v>
      </c>
    </row>
    <row r="40" spans="1:31" x14ac:dyDescent="0.3">
      <c r="A40" s="35" t="s">
        <v>42</v>
      </c>
      <c r="B40" s="8">
        <v>2450.6999999999998</v>
      </c>
      <c r="C40" s="16">
        <v>10.6</v>
      </c>
      <c r="D40" s="10">
        <v>-3.5</v>
      </c>
      <c r="E40" s="11">
        <v>0</v>
      </c>
      <c r="F40" s="16">
        <v>0.3</v>
      </c>
      <c r="G40" s="17">
        <v>50.9</v>
      </c>
      <c r="H40" s="18">
        <v>0.11866440067979607</v>
      </c>
      <c r="I40">
        <v>0</v>
      </c>
      <c r="J40" s="14">
        <v>6501.5</v>
      </c>
      <c r="K40" s="32">
        <v>0</v>
      </c>
      <c r="L40" s="28">
        <v>2712.1</v>
      </c>
      <c r="M40" s="16">
        <v>8.1999999999999993</v>
      </c>
      <c r="N40" s="10">
        <v>-2.7666666666666671</v>
      </c>
      <c r="O40" s="11">
        <v>0.16666666666666666</v>
      </c>
      <c r="P40" s="16">
        <v>0.26</v>
      </c>
      <c r="Q40" s="17">
        <v>55.7</v>
      </c>
      <c r="R40" s="18">
        <v>0.11274268256627575</v>
      </c>
      <c r="S40">
        <v>0</v>
      </c>
      <c r="T40" s="14">
        <v>6489.4</v>
      </c>
      <c r="U40" s="32">
        <v>0</v>
      </c>
      <c r="V40" s="28">
        <v>2550.1</v>
      </c>
      <c r="W40" s="16">
        <v>6.5</v>
      </c>
      <c r="X40" s="10">
        <v>-2.5333333333333332</v>
      </c>
      <c r="Y40" s="11">
        <v>0.66666666666666663</v>
      </c>
      <c r="Z40" s="16">
        <v>0.3</v>
      </c>
      <c r="AA40" s="17">
        <v>55.7</v>
      </c>
      <c r="AB40" s="18">
        <v>0.11773298276365761</v>
      </c>
      <c r="AC40">
        <v>0</v>
      </c>
      <c r="AD40" s="14">
        <v>6458.9</v>
      </c>
      <c r="AE40" s="32">
        <v>0</v>
      </c>
    </row>
    <row r="41" spans="1:31" x14ac:dyDescent="0.3">
      <c r="A41" s="35" t="s">
        <v>43</v>
      </c>
      <c r="B41" s="8">
        <v>2493.4</v>
      </c>
      <c r="C41" s="16">
        <v>7.7</v>
      </c>
      <c r="D41" s="10">
        <v>-4.3</v>
      </c>
      <c r="E41" s="11">
        <v>0.20000000000000004</v>
      </c>
      <c r="F41" s="16">
        <v>0.3</v>
      </c>
      <c r="G41" s="17">
        <v>50.9</v>
      </c>
      <c r="H41" s="18">
        <v>0.10670149703606953</v>
      </c>
      <c r="I41">
        <v>0</v>
      </c>
      <c r="J41" s="14">
        <v>6513.5</v>
      </c>
      <c r="K41" s="32">
        <v>0</v>
      </c>
      <c r="L41" s="28">
        <v>2450.6999999999998</v>
      </c>
      <c r="M41" s="16">
        <v>10.6</v>
      </c>
      <c r="N41" s="10">
        <v>-3.5</v>
      </c>
      <c r="O41" s="11">
        <v>0</v>
      </c>
      <c r="P41" s="16">
        <v>0.3</v>
      </c>
      <c r="Q41" s="17">
        <v>50.9</v>
      </c>
      <c r="R41" s="18">
        <v>0.11866440067979607</v>
      </c>
      <c r="S41">
        <v>0</v>
      </c>
      <c r="T41" s="14">
        <v>6501.5</v>
      </c>
      <c r="U41" s="32">
        <v>0</v>
      </c>
      <c r="V41" s="28">
        <v>2712.1</v>
      </c>
      <c r="W41" s="16">
        <v>8.1999999999999993</v>
      </c>
      <c r="X41" s="10">
        <v>-2.7666666666666671</v>
      </c>
      <c r="Y41" s="11">
        <v>0.16666666666666666</v>
      </c>
      <c r="Z41" s="16">
        <v>0.26</v>
      </c>
      <c r="AA41" s="17">
        <v>55.7</v>
      </c>
      <c r="AB41" s="18">
        <v>0.11274268256627575</v>
      </c>
      <c r="AC41">
        <v>0</v>
      </c>
      <c r="AD41" s="14">
        <v>6489.4</v>
      </c>
      <c r="AE41" s="32">
        <v>0</v>
      </c>
    </row>
    <row r="42" spans="1:31" x14ac:dyDescent="0.3">
      <c r="A42" s="35" t="s">
        <v>44</v>
      </c>
      <c r="B42" s="8">
        <v>2625.5</v>
      </c>
      <c r="C42" s="16">
        <v>10.7</v>
      </c>
      <c r="D42" s="10">
        <v>-3.9666666666666663</v>
      </c>
      <c r="E42" s="11">
        <v>0.3666666666666667</v>
      </c>
      <c r="F42" s="16">
        <v>0.16</v>
      </c>
      <c r="G42" s="17">
        <v>50.9</v>
      </c>
      <c r="H42" s="18">
        <v>0.10589541691903898</v>
      </c>
      <c r="I42">
        <v>0</v>
      </c>
      <c r="J42" s="14">
        <v>6583</v>
      </c>
      <c r="K42" s="32">
        <v>0</v>
      </c>
      <c r="L42" s="28">
        <v>2493.4</v>
      </c>
      <c r="M42" s="16">
        <v>7.7</v>
      </c>
      <c r="N42" s="10">
        <v>-4.3</v>
      </c>
      <c r="O42" s="11">
        <v>0.20000000000000004</v>
      </c>
      <c r="P42" s="16">
        <v>0.3</v>
      </c>
      <c r="Q42" s="17">
        <v>50.9</v>
      </c>
      <c r="R42" s="18">
        <v>0.10670149703606953</v>
      </c>
      <c r="S42">
        <v>0</v>
      </c>
      <c r="T42" s="14">
        <v>6513.5</v>
      </c>
      <c r="U42" s="32">
        <v>0</v>
      </c>
      <c r="V42" s="28">
        <v>2450.6999999999998</v>
      </c>
      <c r="W42" s="16">
        <v>10.6</v>
      </c>
      <c r="X42" s="10">
        <v>-3.5</v>
      </c>
      <c r="Y42" s="11">
        <v>0</v>
      </c>
      <c r="Z42" s="16">
        <v>0.3</v>
      </c>
      <c r="AA42" s="17">
        <v>50.9</v>
      </c>
      <c r="AB42" s="18">
        <v>0.11866440067979607</v>
      </c>
      <c r="AC42">
        <v>0</v>
      </c>
      <c r="AD42" s="14">
        <v>6501.5</v>
      </c>
      <c r="AE42" s="32">
        <v>0</v>
      </c>
    </row>
    <row r="43" spans="1:31" x14ac:dyDescent="0.3">
      <c r="A43" s="35" t="s">
        <v>45</v>
      </c>
      <c r="B43" s="8">
        <v>2816.7</v>
      </c>
      <c r="C43" s="16">
        <v>-4.5</v>
      </c>
      <c r="D43" s="10">
        <v>-5.7333333333333343</v>
      </c>
      <c r="E43" s="11">
        <v>0.6</v>
      </c>
      <c r="F43" s="16">
        <v>0.08</v>
      </c>
      <c r="G43" s="17">
        <v>50.9</v>
      </c>
      <c r="H43" s="18">
        <v>0.10246235246235247</v>
      </c>
      <c r="I43">
        <v>0</v>
      </c>
      <c r="J43" s="14">
        <v>6598</v>
      </c>
      <c r="K43" s="32">
        <v>0</v>
      </c>
      <c r="L43" s="28">
        <v>2625.5</v>
      </c>
      <c r="M43" s="16">
        <v>10.7</v>
      </c>
      <c r="N43" s="10">
        <v>-3.9666666666666663</v>
      </c>
      <c r="O43" s="11">
        <v>0.3666666666666667</v>
      </c>
      <c r="P43" s="16">
        <v>0.16</v>
      </c>
      <c r="Q43" s="17">
        <v>50.9</v>
      </c>
      <c r="R43" s="18">
        <v>0.10589541691903898</v>
      </c>
      <c r="S43">
        <v>0</v>
      </c>
      <c r="T43" s="14">
        <v>6583</v>
      </c>
      <c r="U43" s="32">
        <v>0</v>
      </c>
      <c r="V43" s="28">
        <v>2493.4</v>
      </c>
      <c r="W43" s="16">
        <v>7.7</v>
      </c>
      <c r="X43" s="10">
        <v>-4.3</v>
      </c>
      <c r="Y43" s="11">
        <v>0.20000000000000004</v>
      </c>
      <c r="Z43" s="16">
        <v>0.3</v>
      </c>
      <c r="AA43" s="17">
        <v>50.9</v>
      </c>
      <c r="AB43" s="18">
        <v>0.10670149703606953</v>
      </c>
      <c r="AC43">
        <v>0</v>
      </c>
      <c r="AD43" s="14">
        <v>6513.5</v>
      </c>
      <c r="AE43" s="32">
        <v>0</v>
      </c>
    </row>
    <row r="44" spans="1:31" x14ac:dyDescent="0.3">
      <c r="A44" s="35" t="s">
        <v>46</v>
      </c>
      <c r="B44" s="8">
        <v>2476.5</v>
      </c>
      <c r="C44" s="16">
        <v>-6.5</v>
      </c>
      <c r="D44" s="10">
        <v>-8</v>
      </c>
      <c r="E44" s="11">
        <v>0.6</v>
      </c>
      <c r="F44" s="16">
        <v>0.05</v>
      </c>
      <c r="G44" s="17">
        <v>44.6</v>
      </c>
      <c r="H44" s="18">
        <v>0.10217347146049156</v>
      </c>
      <c r="I44">
        <v>0</v>
      </c>
      <c r="J44" s="14">
        <v>6677</v>
      </c>
      <c r="K44" s="32">
        <v>0</v>
      </c>
      <c r="L44" s="28">
        <v>2816.7</v>
      </c>
      <c r="M44" s="16">
        <v>-4.5</v>
      </c>
      <c r="N44" s="10">
        <v>-5.7333333333333343</v>
      </c>
      <c r="O44" s="11">
        <v>0.6</v>
      </c>
      <c r="P44" s="16">
        <v>0.08</v>
      </c>
      <c r="Q44" s="17">
        <v>50.9</v>
      </c>
      <c r="R44" s="18">
        <v>0.10246235246235247</v>
      </c>
      <c r="S44">
        <v>0</v>
      </c>
      <c r="T44" s="14">
        <v>6598</v>
      </c>
      <c r="U44" s="32">
        <v>0</v>
      </c>
      <c r="V44" s="28">
        <v>2625.5</v>
      </c>
      <c r="W44" s="16">
        <v>10.7</v>
      </c>
      <c r="X44" s="10">
        <v>-3.9666666666666663</v>
      </c>
      <c r="Y44" s="11">
        <v>0.3666666666666667</v>
      </c>
      <c r="Z44" s="16">
        <v>0.16</v>
      </c>
      <c r="AA44" s="17">
        <v>50.9</v>
      </c>
      <c r="AB44" s="18">
        <v>0.10589541691903898</v>
      </c>
      <c r="AC44">
        <v>0</v>
      </c>
      <c r="AD44" s="14">
        <v>6583</v>
      </c>
      <c r="AE44" s="32">
        <v>0</v>
      </c>
    </row>
    <row r="45" spans="1:31" x14ac:dyDescent="0.3">
      <c r="A45" s="35" t="s">
        <v>47</v>
      </c>
      <c r="B45" s="8">
        <v>2555.1999999999998</v>
      </c>
      <c r="C45" s="16">
        <v>-4.5999999999999996</v>
      </c>
      <c r="D45" s="10">
        <v>-6.333333333333333</v>
      </c>
      <c r="E45" s="11">
        <v>0.6</v>
      </c>
      <c r="F45" s="16">
        <v>-0.01</v>
      </c>
      <c r="G45" s="17">
        <v>44.6</v>
      </c>
      <c r="H45" s="18">
        <v>9.7558525067818744E-2</v>
      </c>
      <c r="I45">
        <v>0</v>
      </c>
      <c r="J45" s="14">
        <v>6764.1</v>
      </c>
      <c r="K45" s="32">
        <v>0</v>
      </c>
      <c r="L45" s="28">
        <v>2476.5</v>
      </c>
      <c r="M45" s="16">
        <v>-6.5</v>
      </c>
      <c r="N45" s="10">
        <v>-8</v>
      </c>
      <c r="O45" s="11">
        <v>0.6</v>
      </c>
      <c r="P45" s="16">
        <v>0.05</v>
      </c>
      <c r="Q45" s="17">
        <v>44.6</v>
      </c>
      <c r="R45" s="18">
        <v>0.10217347146049156</v>
      </c>
      <c r="S45">
        <v>0</v>
      </c>
      <c r="T45" s="14">
        <v>6677</v>
      </c>
      <c r="U45" s="32">
        <v>0</v>
      </c>
      <c r="V45" s="28">
        <v>2816.7</v>
      </c>
      <c r="W45" s="16">
        <v>-4.5</v>
      </c>
      <c r="X45" s="10">
        <v>-5.7333333333333343</v>
      </c>
      <c r="Y45" s="11">
        <v>0.6</v>
      </c>
      <c r="Z45" s="16">
        <v>0.08</v>
      </c>
      <c r="AA45" s="17">
        <v>50.9</v>
      </c>
      <c r="AB45" s="18">
        <v>0.10246235246235247</v>
      </c>
      <c r="AC45">
        <v>0</v>
      </c>
      <c r="AD45" s="14">
        <v>6598</v>
      </c>
      <c r="AE45" s="32">
        <v>0</v>
      </c>
    </row>
    <row r="46" spans="1:31" x14ac:dyDescent="0.3">
      <c r="A46" s="35" t="s">
        <v>48</v>
      </c>
      <c r="B46" s="8">
        <v>2663.4</v>
      </c>
      <c r="C46" s="16">
        <v>-7.9</v>
      </c>
      <c r="D46" s="10">
        <v>-4.9333333333333336</v>
      </c>
      <c r="E46" s="11">
        <v>0.43333333333333335</v>
      </c>
      <c r="F46" s="16">
        <v>-0.03</v>
      </c>
      <c r="G46" s="17">
        <v>44.6</v>
      </c>
      <c r="H46" s="18">
        <v>9.7006707378115939E-2</v>
      </c>
      <c r="I46">
        <v>0</v>
      </c>
      <c r="J46" s="14">
        <v>6876.5</v>
      </c>
      <c r="K46" s="32">
        <v>0</v>
      </c>
      <c r="L46" s="28">
        <v>2555.1999999999998</v>
      </c>
      <c r="M46" s="16">
        <v>-4.5999999999999996</v>
      </c>
      <c r="N46" s="10">
        <v>-6.333333333333333</v>
      </c>
      <c r="O46" s="11">
        <v>0.6</v>
      </c>
      <c r="P46" s="16">
        <v>-0.01</v>
      </c>
      <c r="Q46" s="17">
        <v>44.6</v>
      </c>
      <c r="R46" s="18">
        <v>9.7558525067818744E-2</v>
      </c>
      <c r="S46">
        <v>0</v>
      </c>
      <c r="T46" s="14">
        <v>6764.1</v>
      </c>
      <c r="U46" s="32">
        <v>0</v>
      </c>
      <c r="V46" s="28">
        <v>2476.5</v>
      </c>
      <c r="W46" s="16">
        <v>-6.5</v>
      </c>
      <c r="X46" s="10">
        <v>-8</v>
      </c>
      <c r="Y46" s="11">
        <v>0.6</v>
      </c>
      <c r="Z46" s="16">
        <v>0.05</v>
      </c>
      <c r="AA46" s="17">
        <v>44.6</v>
      </c>
      <c r="AB46" s="18">
        <v>0.10217347146049156</v>
      </c>
      <c r="AC46">
        <v>0</v>
      </c>
      <c r="AD46" s="14">
        <v>6677</v>
      </c>
      <c r="AE46" s="32">
        <v>0</v>
      </c>
    </row>
    <row r="47" spans="1:31" x14ac:dyDescent="0.3">
      <c r="A47" s="35" t="s">
        <v>49</v>
      </c>
      <c r="B47" s="8">
        <v>2809.5</v>
      </c>
      <c r="C47" s="16">
        <v>6.6</v>
      </c>
      <c r="D47" s="10">
        <v>-6</v>
      </c>
      <c r="E47" s="11">
        <v>0.23333333333333331</v>
      </c>
      <c r="F47" s="16">
        <v>-0.09</v>
      </c>
      <c r="G47" s="17">
        <v>44.6</v>
      </c>
      <c r="H47" s="18">
        <v>9.8286744815148777E-2</v>
      </c>
      <c r="I47">
        <v>0</v>
      </c>
      <c r="J47" s="14">
        <v>6857.9</v>
      </c>
      <c r="K47" s="32">
        <v>0</v>
      </c>
      <c r="L47" s="28">
        <v>2663.4</v>
      </c>
      <c r="M47" s="16">
        <v>-7.9</v>
      </c>
      <c r="N47" s="10">
        <v>-4.9333333333333336</v>
      </c>
      <c r="O47" s="11">
        <v>0.43333333333333335</v>
      </c>
      <c r="P47" s="16">
        <v>-0.03</v>
      </c>
      <c r="Q47" s="17">
        <v>44.6</v>
      </c>
      <c r="R47" s="18">
        <v>9.7006707378115939E-2</v>
      </c>
      <c r="S47">
        <v>0</v>
      </c>
      <c r="T47" s="14">
        <v>6876.5</v>
      </c>
      <c r="U47" s="32">
        <v>0</v>
      </c>
      <c r="V47" s="28">
        <v>2555.1999999999998</v>
      </c>
      <c r="W47" s="16">
        <v>-4.5999999999999996</v>
      </c>
      <c r="X47" s="10">
        <v>-6.333333333333333</v>
      </c>
      <c r="Y47" s="11">
        <v>0.6</v>
      </c>
      <c r="Z47" s="16">
        <v>-0.01</v>
      </c>
      <c r="AA47" s="17">
        <v>44.6</v>
      </c>
      <c r="AB47" s="18">
        <v>9.7558525067818744E-2</v>
      </c>
      <c r="AC47">
        <v>0</v>
      </c>
      <c r="AD47" s="14">
        <v>6764.1</v>
      </c>
      <c r="AE47" s="32">
        <v>0</v>
      </c>
    </row>
    <row r="48" spans="1:31" x14ac:dyDescent="0.3">
      <c r="A48" s="35" t="s">
        <v>50</v>
      </c>
      <c r="B48" s="8">
        <v>2391.5</v>
      </c>
      <c r="C48" s="16">
        <v>7.1</v>
      </c>
      <c r="D48" s="10">
        <v>-6.833333333333333</v>
      </c>
      <c r="E48" s="11">
        <v>0.16666666666666666</v>
      </c>
      <c r="F48" s="16">
        <v>-0.19</v>
      </c>
      <c r="G48" s="17">
        <v>41.4</v>
      </c>
      <c r="H48" s="18">
        <v>0.10253305076193359</v>
      </c>
      <c r="I48">
        <v>0</v>
      </c>
      <c r="J48" s="14">
        <v>6931.4</v>
      </c>
      <c r="K48" s="32">
        <v>0</v>
      </c>
      <c r="L48" s="28">
        <v>2809.5</v>
      </c>
      <c r="M48" s="16">
        <v>6.6</v>
      </c>
      <c r="N48" s="10">
        <v>-6</v>
      </c>
      <c r="O48" s="11">
        <v>0.23333333333333331</v>
      </c>
      <c r="P48" s="16">
        <v>-0.09</v>
      </c>
      <c r="Q48" s="17">
        <v>44.6</v>
      </c>
      <c r="R48" s="18">
        <v>9.8286744815148777E-2</v>
      </c>
      <c r="S48">
        <v>0</v>
      </c>
      <c r="T48" s="14">
        <v>6857.9</v>
      </c>
      <c r="U48" s="32">
        <v>0</v>
      </c>
      <c r="V48" s="28">
        <v>2663.4</v>
      </c>
      <c r="W48" s="16">
        <v>-7.9</v>
      </c>
      <c r="X48" s="10">
        <v>-4.9333333333333336</v>
      </c>
      <c r="Y48" s="11">
        <v>0.43333333333333335</v>
      </c>
      <c r="Z48" s="16">
        <v>-0.03</v>
      </c>
      <c r="AA48" s="17">
        <v>44.6</v>
      </c>
      <c r="AB48" s="18">
        <v>9.7006707378115939E-2</v>
      </c>
      <c r="AC48">
        <v>0</v>
      </c>
      <c r="AD48" s="14">
        <v>6876.5</v>
      </c>
      <c r="AE48" s="32">
        <v>0</v>
      </c>
    </row>
    <row r="49" spans="1:31" x14ac:dyDescent="0.3">
      <c r="A49" s="35" t="s">
        <v>51</v>
      </c>
      <c r="B49" s="8">
        <v>2569.5</v>
      </c>
      <c r="C49" s="16">
        <v>9.5</v>
      </c>
      <c r="D49" s="10">
        <v>-3.9333333333333331</v>
      </c>
      <c r="E49" s="11">
        <v>-0.16666666666666666</v>
      </c>
      <c r="F49" s="16">
        <v>-0.26</v>
      </c>
      <c r="G49" s="17">
        <v>41.4</v>
      </c>
      <c r="H49" s="18">
        <v>9.5166163141993956E-2</v>
      </c>
      <c r="I49">
        <v>0</v>
      </c>
      <c r="J49" s="14">
        <v>6953.6</v>
      </c>
      <c r="K49" s="32">
        <v>0</v>
      </c>
      <c r="L49" s="28">
        <v>2391.5</v>
      </c>
      <c r="M49" s="16">
        <v>7.1</v>
      </c>
      <c r="N49" s="10">
        <v>-6.833333333333333</v>
      </c>
      <c r="O49" s="11">
        <v>0.16666666666666666</v>
      </c>
      <c r="P49" s="16">
        <v>-0.19</v>
      </c>
      <c r="Q49" s="17">
        <v>41.4</v>
      </c>
      <c r="R49" s="18">
        <v>0.10253305076193359</v>
      </c>
      <c r="S49">
        <v>0</v>
      </c>
      <c r="T49" s="14">
        <v>6931.4</v>
      </c>
      <c r="U49" s="32">
        <v>0</v>
      </c>
      <c r="V49" s="28">
        <v>2809.5</v>
      </c>
      <c r="W49" s="16">
        <v>6.6</v>
      </c>
      <c r="X49" s="10">
        <v>-6</v>
      </c>
      <c r="Y49" s="11">
        <v>0.23333333333333331</v>
      </c>
      <c r="Z49" s="16">
        <v>-0.09</v>
      </c>
      <c r="AA49" s="17">
        <v>44.6</v>
      </c>
      <c r="AB49" s="18">
        <v>9.8286744815148777E-2</v>
      </c>
      <c r="AC49">
        <v>0</v>
      </c>
      <c r="AD49" s="14">
        <v>6857.9</v>
      </c>
      <c r="AE49" s="32">
        <v>0</v>
      </c>
    </row>
    <row r="50" spans="1:31" x14ac:dyDescent="0.3">
      <c r="A50" s="35" t="s">
        <v>52</v>
      </c>
      <c r="B50" s="8">
        <v>2678.2</v>
      </c>
      <c r="C50" s="16">
        <v>9.6</v>
      </c>
      <c r="D50" s="10">
        <v>-3.7333333333333329</v>
      </c>
      <c r="E50" s="11">
        <v>-0.26666666666666666</v>
      </c>
      <c r="F50" s="16">
        <v>-0.3</v>
      </c>
      <c r="G50" s="17">
        <v>41.4</v>
      </c>
      <c r="H50" s="18">
        <v>9.5411360420456851E-2</v>
      </c>
      <c r="I50">
        <v>0</v>
      </c>
      <c r="J50" s="14">
        <v>6956.9</v>
      </c>
      <c r="K50" s="32">
        <v>0</v>
      </c>
      <c r="L50" s="28">
        <v>2569.5</v>
      </c>
      <c r="M50" s="16">
        <v>9.5</v>
      </c>
      <c r="N50" s="10">
        <v>-3.9333333333333331</v>
      </c>
      <c r="O50" s="11">
        <v>-0.16666666666666666</v>
      </c>
      <c r="P50" s="16">
        <v>-0.26</v>
      </c>
      <c r="Q50" s="17">
        <v>41.4</v>
      </c>
      <c r="R50" s="18">
        <v>9.5166163141993956E-2</v>
      </c>
      <c r="S50">
        <v>0</v>
      </c>
      <c r="T50" s="14">
        <v>6953.6</v>
      </c>
      <c r="U50" s="32">
        <v>0</v>
      </c>
      <c r="V50" s="28">
        <v>2391.5</v>
      </c>
      <c r="W50" s="16">
        <v>7.1</v>
      </c>
      <c r="X50" s="10">
        <v>-6.833333333333333</v>
      </c>
      <c r="Y50" s="11">
        <v>0.16666666666666666</v>
      </c>
      <c r="Z50" s="16">
        <v>-0.19</v>
      </c>
      <c r="AA50" s="17">
        <v>41.4</v>
      </c>
      <c r="AB50" s="18">
        <v>0.10253305076193359</v>
      </c>
      <c r="AC50">
        <v>0</v>
      </c>
      <c r="AD50" s="14">
        <v>6931.4</v>
      </c>
      <c r="AE50" s="32">
        <v>0</v>
      </c>
    </row>
    <row r="51" spans="1:31" x14ac:dyDescent="0.3">
      <c r="A51" s="35" t="s">
        <v>53</v>
      </c>
      <c r="B51" s="8">
        <v>2850.8</v>
      </c>
      <c r="C51" s="16">
        <v>7.8</v>
      </c>
      <c r="D51" s="10">
        <v>-2.1999999999999997</v>
      </c>
      <c r="E51" s="11">
        <v>0</v>
      </c>
      <c r="F51" s="16">
        <v>-0.31</v>
      </c>
      <c r="G51" s="17">
        <v>41.4</v>
      </c>
      <c r="H51" s="18">
        <v>9.2539747248267426E-2</v>
      </c>
      <c r="I51">
        <v>0</v>
      </c>
      <c r="J51" s="14">
        <v>7038.3</v>
      </c>
      <c r="K51" s="32">
        <v>0</v>
      </c>
      <c r="L51" s="28">
        <v>2678.2</v>
      </c>
      <c r="M51" s="16">
        <v>9.6</v>
      </c>
      <c r="N51" s="10">
        <v>-3.7333333333333329</v>
      </c>
      <c r="O51" s="11">
        <v>-0.26666666666666666</v>
      </c>
      <c r="P51" s="16">
        <v>-0.3</v>
      </c>
      <c r="Q51" s="17">
        <v>41.4</v>
      </c>
      <c r="R51" s="18">
        <v>9.5411360420456851E-2</v>
      </c>
      <c r="S51">
        <v>0</v>
      </c>
      <c r="T51" s="14">
        <v>6956.9</v>
      </c>
      <c r="U51" s="32">
        <v>0</v>
      </c>
      <c r="V51" s="28">
        <v>2569.5</v>
      </c>
      <c r="W51" s="16">
        <v>9.5</v>
      </c>
      <c r="X51" s="10">
        <v>-3.9333333333333331</v>
      </c>
      <c r="Y51" s="11">
        <v>-0.16666666666666666</v>
      </c>
      <c r="Z51" s="16">
        <v>-0.26</v>
      </c>
      <c r="AA51" s="17">
        <v>41.4</v>
      </c>
      <c r="AB51" s="18">
        <v>9.5166163141993956E-2</v>
      </c>
      <c r="AC51">
        <v>0</v>
      </c>
      <c r="AD51" s="14">
        <v>6953.6</v>
      </c>
      <c r="AE51" s="32">
        <v>0</v>
      </c>
    </row>
    <row r="52" spans="1:31" x14ac:dyDescent="0.3">
      <c r="A52" s="35" t="s">
        <v>54</v>
      </c>
      <c r="B52" s="8">
        <v>2688</v>
      </c>
      <c r="C52" s="16">
        <v>9.3000000000000007</v>
      </c>
      <c r="D52" s="10">
        <v>-2.1666666666666665</v>
      </c>
      <c r="E52" s="11">
        <v>0.70000000000000007</v>
      </c>
      <c r="F52" s="16">
        <v>-0.33</v>
      </c>
      <c r="G52" s="17">
        <v>40.6</v>
      </c>
      <c r="H52" s="18">
        <v>9.3756418155678783E-2</v>
      </c>
      <c r="I52">
        <v>0</v>
      </c>
      <c r="J52" s="14">
        <v>7113.7</v>
      </c>
      <c r="K52" s="32">
        <v>0</v>
      </c>
      <c r="L52" s="28">
        <v>2850.8</v>
      </c>
      <c r="M52" s="16">
        <v>7.8</v>
      </c>
      <c r="N52" s="10">
        <v>-2.1999999999999997</v>
      </c>
      <c r="O52" s="11">
        <v>0</v>
      </c>
      <c r="P52" s="16">
        <v>-0.31</v>
      </c>
      <c r="Q52" s="17">
        <v>41.4</v>
      </c>
      <c r="R52" s="18">
        <v>9.2539747248267426E-2</v>
      </c>
      <c r="S52">
        <v>0</v>
      </c>
      <c r="T52" s="14">
        <v>7038.3</v>
      </c>
      <c r="U52" s="32">
        <v>0</v>
      </c>
      <c r="V52" s="28">
        <v>2678.2</v>
      </c>
      <c r="W52" s="16">
        <v>9.6</v>
      </c>
      <c r="X52" s="10">
        <v>-3.7333333333333329</v>
      </c>
      <c r="Y52" s="11">
        <v>-0.26666666666666666</v>
      </c>
      <c r="Z52" s="16">
        <v>-0.3</v>
      </c>
      <c r="AA52" s="17">
        <v>41.4</v>
      </c>
      <c r="AB52" s="18">
        <v>9.5411360420456851E-2</v>
      </c>
      <c r="AC52">
        <v>0</v>
      </c>
      <c r="AD52" s="14">
        <v>6956.9</v>
      </c>
      <c r="AE52" s="32">
        <v>0</v>
      </c>
    </row>
    <row r="53" spans="1:31" x14ac:dyDescent="0.3">
      <c r="A53" s="35" t="s">
        <v>55</v>
      </c>
      <c r="B53" s="8">
        <v>2752.6</v>
      </c>
      <c r="C53" s="16">
        <v>9.1</v>
      </c>
      <c r="D53" s="10">
        <v>3.3333333333333326E-2</v>
      </c>
      <c r="E53" s="11">
        <v>1.6000000000000003</v>
      </c>
      <c r="F53" s="16">
        <v>-0.33</v>
      </c>
      <c r="G53" s="17">
        <v>40.6</v>
      </c>
      <c r="H53" s="18">
        <v>8.8520903608300117E-2</v>
      </c>
      <c r="I53">
        <v>0</v>
      </c>
      <c r="J53" s="14">
        <v>7146.2</v>
      </c>
      <c r="K53" s="32">
        <v>0</v>
      </c>
      <c r="L53" s="28">
        <v>2688</v>
      </c>
      <c r="M53" s="16">
        <v>9.3000000000000007</v>
      </c>
      <c r="N53" s="10">
        <v>-2.1666666666666665</v>
      </c>
      <c r="O53" s="11">
        <v>0.70000000000000007</v>
      </c>
      <c r="P53" s="16">
        <v>-0.33</v>
      </c>
      <c r="Q53" s="17">
        <v>40.6</v>
      </c>
      <c r="R53" s="18">
        <v>9.3756418155678783E-2</v>
      </c>
      <c r="S53">
        <v>0</v>
      </c>
      <c r="T53" s="14">
        <v>7113.7</v>
      </c>
      <c r="U53" s="32">
        <v>0</v>
      </c>
      <c r="V53" s="28">
        <v>2850.8</v>
      </c>
      <c r="W53" s="16">
        <v>7.8</v>
      </c>
      <c r="X53" s="10">
        <v>-2.1999999999999997</v>
      </c>
      <c r="Y53" s="11">
        <v>0</v>
      </c>
      <c r="Z53" s="16">
        <v>-0.31</v>
      </c>
      <c r="AA53" s="17">
        <v>41.4</v>
      </c>
      <c r="AB53" s="18">
        <v>9.2539747248267426E-2</v>
      </c>
      <c r="AC53">
        <v>0</v>
      </c>
      <c r="AD53" s="14">
        <v>7038.3</v>
      </c>
      <c r="AE53" s="32">
        <v>0</v>
      </c>
    </row>
    <row r="54" spans="1:31" x14ac:dyDescent="0.3">
      <c r="A54" s="35" t="s">
        <v>56</v>
      </c>
      <c r="B54" s="8">
        <v>2889</v>
      </c>
      <c r="C54" s="16">
        <v>8.8000000000000007</v>
      </c>
      <c r="D54" s="10">
        <v>1.0999999999999999</v>
      </c>
      <c r="E54" s="11">
        <v>2.3666666666666667</v>
      </c>
      <c r="F54" s="16">
        <v>-0.33</v>
      </c>
      <c r="G54" s="17">
        <v>40.6</v>
      </c>
      <c r="H54" s="18">
        <v>8.5207700101317119E-2</v>
      </c>
      <c r="I54">
        <v>0</v>
      </c>
      <c r="J54" s="14">
        <v>7217.9</v>
      </c>
      <c r="K54" s="32">
        <v>0</v>
      </c>
      <c r="L54" s="28">
        <v>2752.6</v>
      </c>
      <c r="M54" s="16">
        <v>9.1</v>
      </c>
      <c r="N54" s="10">
        <v>3.3333333333333326E-2</v>
      </c>
      <c r="O54" s="11">
        <v>1.6000000000000003</v>
      </c>
      <c r="P54" s="16">
        <v>-0.33</v>
      </c>
      <c r="Q54" s="17">
        <v>40.6</v>
      </c>
      <c r="R54" s="18">
        <v>8.8520903608300117E-2</v>
      </c>
      <c r="S54">
        <v>0</v>
      </c>
      <c r="T54" s="14">
        <v>7146.2</v>
      </c>
      <c r="U54" s="32">
        <v>0</v>
      </c>
      <c r="V54" s="28">
        <v>2688</v>
      </c>
      <c r="W54" s="16">
        <v>9.3000000000000007</v>
      </c>
      <c r="X54" s="10">
        <v>-2.1666666666666665</v>
      </c>
      <c r="Y54" s="11">
        <v>0.70000000000000007</v>
      </c>
      <c r="Z54" s="16">
        <v>-0.33</v>
      </c>
      <c r="AA54" s="17">
        <v>40.6</v>
      </c>
      <c r="AB54" s="18">
        <v>9.3756418155678783E-2</v>
      </c>
      <c r="AC54">
        <v>0</v>
      </c>
      <c r="AD54" s="14">
        <v>7113.7</v>
      </c>
      <c r="AE54" s="32">
        <v>0</v>
      </c>
    </row>
    <row r="55" spans="1:31" x14ac:dyDescent="0.3">
      <c r="A55" s="35" t="s">
        <v>57</v>
      </c>
      <c r="B55" s="8">
        <v>3157.1</v>
      </c>
      <c r="C55" s="16">
        <v>7.9</v>
      </c>
      <c r="D55" s="10">
        <v>2.2333333333333334</v>
      </c>
      <c r="E55" s="11">
        <v>2.8666666666666667</v>
      </c>
      <c r="F55" s="16">
        <v>-0.33</v>
      </c>
      <c r="G55" s="17">
        <v>40.6</v>
      </c>
      <c r="H55" s="18">
        <v>8.1169161829106842E-2</v>
      </c>
      <c r="I55">
        <v>0</v>
      </c>
      <c r="J55" s="14">
        <v>7275.2</v>
      </c>
      <c r="K55" s="32">
        <v>0</v>
      </c>
      <c r="L55" s="28">
        <v>2889</v>
      </c>
      <c r="M55" s="16">
        <v>8.8000000000000007</v>
      </c>
      <c r="N55" s="10">
        <v>1.0999999999999999</v>
      </c>
      <c r="O55" s="11">
        <v>2.3666666666666667</v>
      </c>
      <c r="P55" s="16">
        <v>-0.33</v>
      </c>
      <c r="Q55" s="17">
        <v>40.6</v>
      </c>
      <c r="R55" s="18">
        <v>8.5207700101317119E-2</v>
      </c>
      <c r="S55">
        <v>0</v>
      </c>
      <c r="T55" s="14">
        <v>7217.9</v>
      </c>
      <c r="U55" s="32">
        <v>0</v>
      </c>
      <c r="V55" s="28">
        <v>2752.6</v>
      </c>
      <c r="W55" s="16">
        <v>9.1</v>
      </c>
      <c r="X55" s="10">
        <v>3.3333333333333326E-2</v>
      </c>
      <c r="Y55" s="11">
        <v>1.6000000000000003</v>
      </c>
      <c r="Z55" s="16">
        <v>-0.33</v>
      </c>
      <c r="AA55" s="17">
        <v>40.6</v>
      </c>
      <c r="AB55" s="18">
        <v>8.8520903608300117E-2</v>
      </c>
      <c r="AC55">
        <v>0</v>
      </c>
      <c r="AD55" s="14">
        <v>7146.2</v>
      </c>
      <c r="AE55" s="32">
        <v>0</v>
      </c>
    </row>
    <row r="56" spans="1:31" x14ac:dyDescent="0.3">
      <c r="A56" s="35" t="s">
        <v>58</v>
      </c>
      <c r="B56" s="8">
        <v>2906</v>
      </c>
      <c r="C56" s="16">
        <v>11.4</v>
      </c>
      <c r="D56" s="10">
        <v>0.6333333333333333</v>
      </c>
      <c r="E56" s="11">
        <v>2.6999999999999997</v>
      </c>
      <c r="F56" s="16">
        <v>-0.33</v>
      </c>
      <c r="G56" s="17">
        <v>36.6</v>
      </c>
      <c r="H56" s="18">
        <v>8.1799591002044994E-2</v>
      </c>
      <c r="I56">
        <v>0</v>
      </c>
      <c r="J56" s="14">
        <v>7362.8</v>
      </c>
      <c r="K56" s="32">
        <v>0</v>
      </c>
      <c r="L56" s="28">
        <v>3157.1</v>
      </c>
      <c r="M56" s="16">
        <v>7.9</v>
      </c>
      <c r="N56" s="10">
        <v>2.2333333333333334</v>
      </c>
      <c r="O56" s="11">
        <v>2.8666666666666667</v>
      </c>
      <c r="P56" s="16">
        <v>-0.33</v>
      </c>
      <c r="Q56" s="17">
        <v>40.6</v>
      </c>
      <c r="R56" s="18">
        <v>8.1169161829106842E-2</v>
      </c>
      <c r="S56">
        <v>0</v>
      </c>
      <c r="T56" s="14">
        <v>7275.2</v>
      </c>
      <c r="U56" s="32">
        <v>0</v>
      </c>
      <c r="V56" s="28">
        <v>2889</v>
      </c>
      <c r="W56" s="16">
        <v>8.8000000000000007</v>
      </c>
      <c r="X56" s="10">
        <v>1.0999999999999999</v>
      </c>
      <c r="Y56" s="11">
        <v>2.3666666666666667</v>
      </c>
      <c r="Z56" s="16">
        <v>-0.33</v>
      </c>
      <c r="AA56" s="17">
        <v>40.6</v>
      </c>
      <c r="AB56" s="18">
        <v>8.5207700101317119E-2</v>
      </c>
      <c r="AC56">
        <v>0</v>
      </c>
      <c r="AD56" s="14">
        <v>7217.9</v>
      </c>
      <c r="AE56" s="32">
        <v>0</v>
      </c>
    </row>
    <row r="57" spans="1:31" x14ac:dyDescent="0.3">
      <c r="A57" s="35" t="s">
        <v>59</v>
      </c>
      <c r="B57" s="8">
        <v>3090.4</v>
      </c>
      <c r="C57" s="16">
        <v>8.6999999999999993</v>
      </c>
      <c r="D57" s="10">
        <v>0.79999999999999993</v>
      </c>
      <c r="E57" s="11">
        <v>2.5</v>
      </c>
      <c r="F57" s="16">
        <v>-0.33</v>
      </c>
      <c r="G57" s="17">
        <v>36.6</v>
      </c>
      <c r="H57" s="18">
        <v>7.6548223350253811E-2</v>
      </c>
      <c r="I57">
        <v>0</v>
      </c>
      <c r="J57" s="14">
        <v>7469.3</v>
      </c>
      <c r="K57" s="32">
        <v>0</v>
      </c>
      <c r="L57" s="28">
        <v>2906</v>
      </c>
      <c r="M57" s="16">
        <v>11.4</v>
      </c>
      <c r="N57" s="10">
        <v>0.6333333333333333</v>
      </c>
      <c r="O57" s="11">
        <v>2.6999999999999997</v>
      </c>
      <c r="P57" s="16">
        <v>-0.33</v>
      </c>
      <c r="Q57" s="17">
        <v>36.6</v>
      </c>
      <c r="R57" s="18">
        <v>8.1799591002044994E-2</v>
      </c>
      <c r="S57">
        <v>0</v>
      </c>
      <c r="T57" s="14">
        <v>7362.8</v>
      </c>
      <c r="U57" s="32">
        <v>0</v>
      </c>
      <c r="V57" s="28">
        <v>3157.1</v>
      </c>
      <c r="W57" s="16">
        <v>7.9</v>
      </c>
      <c r="X57" s="10">
        <v>2.2333333333333334</v>
      </c>
      <c r="Y57" s="11">
        <v>2.8666666666666667</v>
      </c>
      <c r="Z57" s="16">
        <v>-0.33</v>
      </c>
      <c r="AA57" s="17">
        <v>40.6</v>
      </c>
      <c r="AB57" s="18">
        <v>8.1169161829106842E-2</v>
      </c>
      <c r="AC57">
        <v>0</v>
      </c>
      <c r="AD57" s="14">
        <v>7275.2</v>
      </c>
      <c r="AE57" s="32">
        <v>0</v>
      </c>
    </row>
    <row r="58" spans="1:31" x14ac:dyDescent="0.3">
      <c r="A58" s="35" t="s">
        <v>60</v>
      </c>
      <c r="B58" s="8">
        <v>3057.9</v>
      </c>
      <c r="C58" s="16">
        <v>7.2</v>
      </c>
      <c r="D58" s="10">
        <v>2.3000000000000003</v>
      </c>
      <c r="E58" s="11">
        <v>2.4666666666666668</v>
      </c>
      <c r="F58" s="16">
        <v>-0.32</v>
      </c>
      <c r="G58" s="17">
        <v>36.6</v>
      </c>
      <c r="H58" s="18">
        <v>6.9579288025889974E-2</v>
      </c>
      <c r="I58">
        <v>0</v>
      </c>
      <c r="J58" s="14">
        <v>7515.2</v>
      </c>
      <c r="K58" s="32">
        <v>0</v>
      </c>
      <c r="L58" s="28">
        <v>3090.4</v>
      </c>
      <c r="M58" s="16">
        <v>8.6999999999999993</v>
      </c>
      <c r="N58" s="10">
        <v>0.79999999999999993</v>
      </c>
      <c r="O58" s="11">
        <v>2.5</v>
      </c>
      <c r="P58" s="16">
        <v>-0.33</v>
      </c>
      <c r="Q58" s="17">
        <v>36.6</v>
      </c>
      <c r="R58" s="18">
        <v>7.6548223350253811E-2</v>
      </c>
      <c r="S58">
        <v>0</v>
      </c>
      <c r="T58" s="14">
        <v>7469.3</v>
      </c>
      <c r="U58" s="32">
        <v>0</v>
      </c>
      <c r="V58" s="28">
        <v>2906</v>
      </c>
      <c r="W58" s="16">
        <v>11.4</v>
      </c>
      <c r="X58" s="10">
        <v>0.6333333333333333</v>
      </c>
      <c r="Y58" s="11">
        <v>2.6999999999999997</v>
      </c>
      <c r="Z58" s="16">
        <v>-0.33</v>
      </c>
      <c r="AA58" s="17">
        <v>36.6</v>
      </c>
      <c r="AB58" s="18">
        <v>8.1799591002044994E-2</v>
      </c>
      <c r="AC58">
        <v>0</v>
      </c>
      <c r="AD58" s="14">
        <v>7362.8</v>
      </c>
      <c r="AE58" s="32">
        <v>0</v>
      </c>
    </row>
    <row r="59" spans="1:31" x14ac:dyDescent="0.3">
      <c r="A59" s="35" t="s">
        <v>61</v>
      </c>
      <c r="B59" s="8">
        <v>3351.2</v>
      </c>
      <c r="C59" s="16">
        <v>11.1</v>
      </c>
      <c r="D59" s="10">
        <v>2.3666666666666667</v>
      </c>
      <c r="E59" s="11">
        <v>2.5333333333333332</v>
      </c>
      <c r="F59" s="16">
        <v>-0.32</v>
      </c>
      <c r="G59" s="17">
        <v>36.6</v>
      </c>
      <c r="H59" s="18">
        <v>6.8686661889650932E-2</v>
      </c>
      <c r="I59">
        <v>0</v>
      </c>
      <c r="J59" s="14">
        <v>7582.5</v>
      </c>
      <c r="K59" s="32">
        <v>0</v>
      </c>
      <c r="L59" s="28">
        <v>3057.9</v>
      </c>
      <c r="M59" s="16">
        <v>7.2</v>
      </c>
      <c r="N59" s="10">
        <v>2.3000000000000003</v>
      </c>
      <c r="O59" s="11">
        <v>2.4666666666666668</v>
      </c>
      <c r="P59" s="16">
        <v>-0.32</v>
      </c>
      <c r="Q59" s="17">
        <v>36.6</v>
      </c>
      <c r="R59" s="18">
        <v>6.9579288025889974E-2</v>
      </c>
      <c r="S59">
        <v>0</v>
      </c>
      <c r="T59" s="14">
        <v>7515.2</v>
      </c>
      <c r="U59" s="32">
        <v>0</v>
      </c>
      <c r="V59" s="28">
        <v>3090.4</v>
      </c>
      <c r="W59" s="16">
        <v>8.6999999999999993</v>
      </c>
      <c r="X59" s="10">
        <v>0.79999999999999993</v>
      </c>
      <c r="Y59" s="11">
        <v>2.5</v>
      </c>
      <c r="Z59" s="16">
        <v>-0.33</v>
      </c>
      <c r="AA59" s="17">
        <v>36.6</v>
      </c>
      <c r="AB59" s="18">
        <v>7.6548223350253811E-2</v>
      </c>
      <c r="AC59">
        <v>0</v>
      </c>
      <c r="AD59" s="14">
        <v>7469.3</v>
      </c>
      <c r="AE59" s="32">
        <v>0</v>
      </c>
    </row>
    <row r="60" spans="1:31" x14ac:dyDescent="0.3">
      <c r="A60" s="35" t="s">
        <v>62</v>
      </c>
      <c r="B60" s="8">
        <v>3112.1</v>
      </c>
      <c r="C60" s="16">
        <v>6.4</v>
      </c>
      <c r="D60" s="10">
        <v>-0.6</v>
      </c>
      <c r="E60" s="11">
        <v>2.6666666666666665</v>
      </c>
      <c r="F60" s="16">
        <v>-0.31</v>
      </c>
      <c r="G60" s="17">
        <v>29.4</v>
      </c>
      <c r="H60" s="18">
        <v>6.8926437255306006E-2</v>
      </c>
      <c r="I60">
        <v>0</v>
      </c>
      <c r="J60" s="14">
        <v>7570.8</v>
      </c>
      <c r="K60" s="32">
        <v>0</v>
      </c>
      <c r="L60" s="28">
        <v>3351.2</v>
      </c>
      <c r="M60" s="16">
        <v>11.1</v>
      </c>
      <c r="N60" s="10">
        <v>2.3666666666666667</v>
      </c>
      <c r="O60" s="11">
        <v>2.5333333333333332</v>
      </c>
      <c r="P60" s="16">
        <v>-0.32</v>
      </c>
      <c r="Q60" s="17">
        <v>36.6</v>
      </c>
      <c r="R60" s="18">
        <v>6.8686661889650932E-2</v>
      </c>
      <c r="S60">
        <v>0</v>
      </c>
      <c r="T60" s="14">
        <v>7582.5</v>
      </c>
      <c r="U60" s="32">
        <v>0</v>
      </c>
      <c r="V60" s="28">
        <v>3057.9</v>
      </c>
      <c r="W60" s="16">
        <v>7.2</v>
      </c>
      <c r="X60" s="10">
        <v>2.3000000000000003</v>
      </c>
      <c r="Y60" s="11">
        <v>2.4666666666666668</v>
      </c>
      <c r="Z60" s="16">
        <v>-0.32</v>
      </c>
      <c r="AA60" s="17">
        <v>36.6</v>
      </c>
      <c r="AB60" s="18">
        <v>6.9579288025889974E-2</v>
      </c>
      <c r="AC60">
        <v>0</v>
      </c>
      <c r="AD60" s="14">
        <v>7515.2</v>
      </c>
      <c r="AE60" s="32">
        <v>0</v>
      </c>
    </row>
    <row r="61" spans="1:31" x14ac:dyDescent="0.3">
      <c r="A61" s="35" t="s">
        <v>63</v>
      </c>
      <c r="B61" s="8">
        <v>3158.2</v>
      </c>
      <c r="C61" s="16">
        <v>7.9</v>
      </c>
      <c r="D61" s="10">
        <v>-2.0333333333333332</v>
      </c>
      <c r="E61" s="11">
        <v>2.9333333333333336</v>
      </c>
      <c r="F61" s="16">
        <v>-0.32</v>
      </c>
      <c r="G61" s="17">
        <v>29.4</v>
      </c>
      <c r="H61" s="18">
        <v>6.3592182814600356E-2</v>
      </c>
      <c r="I61">
        <v>0</v>
      </c>
      <c r="J61" s="14">
        <v>7551</v>
      </c>
      <c r="K61" s="32">
        <v>0</v>
      </c>
      <c r="L61" s="28">
        <v>3112.1</v>
      </c>
      <c r="M61" s="16">
        <v>6.4</v>
      </c>
      <c r="N61" s="10">
        <v>-0.6</v>
      </c>
      <c r="O61" s="11">
        <v>2.6666666666666665</v>
      </c>
      <c r="P61" s="16">
        <v>-0.31</v>
      </c>
      <c r="Q61" s="17">
        <v>29.4</v>
      </c>
      <c r="R61" s="18">
        <v>6.8926437255306006E-2</v>
      </c>
      <c r="S61">
        <v>0</v>
      </c>
      <c r="T61" s="14">
        <v>7570.8</v>
      </c>
      <c r="U61" s="32">
        <v>0</v>
      </c>
      <c r="V61" s="28">
        <v>3351.2</v>
      </c>
      <c r="W61" s="16">
        <v>11.1</v>
      </c>
      <c r="X61" s="10">
        <v>2.3666666666666667</v>
      </c>
      <c r="Y61" s="11">
        <v>2.5333333333333332</v>
      </c>
      <c r="Z61" s="16">
        <v>-0.32</v>
      </c>
      <c r="AA61" s="17">
        <v>36.6</v>
      </c>
      <c r="AB61" s="18">
        <v>6.8686661889650932E-2</v>
      </c>
      <c r="AC61">
        <v>0</v>
      </c>
      <c r="AD61" s="14">
        <v>7582.5</v>
      </c>
      <c r="AE61" s="32">
        <v>0</v>
      </c>
    </row>
    <row r="62" spans="1:31" x14ac:dyDescent="0.3">
      <c r="A62" s="35" t="s">
        <v>64</v>
      </c>
      <c r="B62" s="8">
        <v>3298.5</v>
      </c>
      <c r="C62" s="16">
        <v>12.7</v>
      </c>
      <c r="D62" s="10">
        <v>-1.9333333333333333</v>
      </c>
      <c r="E62" s="11">
        <v>2.9666666666666668</v>
      </c>
      <c r="F62" s="16">
        <v>-0.4</v>
      </c>
      <c r="G62" s="17">
        <v>29.4</v>
      </c>
      <c r="H62" s="18">
        <v>6.0305109040647072E-2</v>
      </c>
      <c r="I62">
        <v>0</v>
      </c>
      <c r="J62" s="14">
        <v>7586.2</v>
      </c>
      <c r="K62" s="32">
        <v>0</v>
      </c>
      <c r="L62" s="28">
        <v>3158.2</v>
      </c>
      <c r="M62" s="16">
        <v>7.9</v>
      </c>
      <c r="N62" s="10">
        <v>-2.0333333333333332</v>
      </c>
      <c r="O62" s="11">
        <v>2.9333333333333336</v>
      </c>
      <c r="P62" s="16">
        <v>-0.32</v>
      </c>
      <c r="Q62" s="17">
        <v>29.4</v>
      </c>
      <c r="R62" s="18">
        <v>6.3592182814600356E-2</v>
      </c>
      <c r="S62">
        <v>0</v>
      </c>
      <c r="T62" s="14">
        <v>7551</v>
      </c>
      <c r="U62" s="32">
        <v>0</v>
      </c>
      <c r="V62" s="28">
        <v>3112.1</v>
      </c>
      <c r="W62" s="16">
        <v>6.4</v>
      </c>
      <c r="X62" s="10">
        <v>-0.6</v>
      </c>
      <c r="Y62" s="11">
        <v>2.6666666666666665</v>
      </c>
      <c r="Z62" s="16">
        <v>-0.31</v>
      </c>
      <c r="AA62" s="17">
        <v>29.4</v>
      </c>
      <c r="AB62" s="18">
        <v>6.8926437255306006E-2</v>
      </c>
      <c r="AC62">
        <v>0</v>
      </c>
      <c r="AD62" s="14">
        <v>7570.8</v>
      </c>
      <c r="AE62" s="32">
        <v>0</v>
      </c>
    </row>
    <row r="63" spans="1:31" x14ac:dyDescent="0.3">
      <c r="A63" s="35" t="s">
        <v>65</v>
      </c>
      <c r="B63" s="8">
        <v>3385.3</v>
      </c>
      <c r="C63" s="16">
        <v>8.8000000000000007</v>
      </c>
      <c r="D63" s="10">
        <v>-2.2000000000000002</v>
      </c>
      <c r="E63" s="11">
        <v>2.7999999999999994</v>
      </c>
      <c r="F63" s="16">
        <v>-0.4</v>
      </c>
      <c r="G63" s="17">
        <v>29.4</v>
      </c>
      <c r="H63" s="18">
        <v>5.962924819773429E-2</v>
      </c>
      <c r="I63">
        <v>0</v>
      </c>
      <c r="J63" s="14">
        <v>7535.5</v>
      </c>
      <c r="K63" s="32">
        <v>1</v>
      </c>
      <c r="L63" s="28">
        <v>3298.5</v>
      </c>
      <c r="M63" s="16">
        <v>12.7</v>
      </c>
      <c r="N63" s="10">
        <v>-1.9333333333333333</v>
      </c>
      <c r="O63" s="11">
        <v>2.9666666666666668</v>
      </c>
      <c r="P63" s="16">
        <v>-0.4</v>
      </c>
      <c r="Q63" s="17">
        <v>29.4</v>
      </c>
      <c r="R63" s="18">
        <v>6.0305109040647072E-2</v>
      </c>
      <c r="S63">
        <v>0</v>
      </c>
      <c r="T63" s="14">
        <v>7586.2</v>
      </c>
      <c r="U63" s="32">
        <v>0</v>
      </c>
      <c r="V63" s="28">
        <v>3158.2</v>
      </c>
      <c r="W63" s="16">
        <v>7.9</v>
      </c>
      <c r="X63" s="10">
        <v>-2.0333333333333332</v>
      </c>
      <c r="Y63" s="11">
        <v>2.9333333333333336</v>
      </c>
      <c r="Z63" s="16">
        <v>-0.32</v>
      </c>
      <c r="AA63" s="17">
        <v>29.4</v>
      </c>
      <c r="AB63" s="18">
        <v>6.3592182814600356E-2</v>
      </c>
      <c r="AC63">
        <v>0</v>
      </c>
      <c r="AD63" s="14">
        <v>7551</v>
      </c>
      <c r="AE63" s="32">
        <v>0</v>
      </c>
    </row>
    <row r="64" spans="1:31" x14ac:dyDescent="0.3">
      <c r="A64" s="35" t="s">
        <v>66</v>
      </c>
      <c r="B64" s="8">
        <v>3266.4</v>
      </c>
      <c r="C64" s="16">
        <v>8.8000000000000007</v>
      </c>
      <c r="D64" s="10">
        <v>-0.69999999999999984</v>
      </c>
      <c r="E64" s="11">
        <v>2.6</v>
      </c>
      <c r="F64" s="16">
        <v>-0.41</v>
      </c>
      <c r="G64" s="17">
        <v>29.2</v>
      </c>
      <c r="H64" s="18">
        <v>7.6142652182824344E-2</v>
      </c>
      <c r="I64">
        <v>23.386254879999999</v>
      </c>
      <c r="J64" s="14">
        <v>7503.3</v>
      </c>
      <c r="K64" s="32">
        <v>1</v>
      </c>
      <c r="L64" s="28">
        <v>3385.3</v>
      </c>
      <c r="M64" s="16">
        <v>8.8000000000000007</v>
      </c>
      <c r="N64" s="10">
        <v>-2.2000000000000002</v>
      </c>
      <c r="O64" s="11">
        <v>2.7999999999999994</v>
      </c>
      <c r="P64" s="16">
        <v>-0.4</v>
      </c>
      <c r="Q64" s="17">
        <v>29.4</v>
      </c>
      <c r="R64" s="18">
        <v>5.962924819773429E-2</v>
      </c>
      <c r="S64">
        <v>0</v>
      </c>
      <c r="T64" s="14">
        <v>7535.5</v>
      </c>
      <c r="U64" s="32">
        <v>1</v>
      </c>
      <c r="V64" s="28">
        <v>3298.5</v>
      </c>
      <c r="W64" s="16">
        <v>12.7</v>
      </c>
      <c r="X64" s="10">
        <v>-1.9333333333333333</v>
      </c>
      <c r="Y64" s="11">
        <v>2.9666666666666668</v>
      </c>
      <c r="Z64" s="16">
        <v>-0.4</v>
      </c>
      <c r="AA64" s="17">
        <v>29.4</v>
      </c>
      <c r="AB64" s="18">
        <v>6.0305109040647072E-2</v>
      </c>
      <c r="AC64">
        <v>0</v>
      </c>
      <c r="AD64" s="14">
        <v>7586.2</v>
      </c>
      <c r="AE64" s="32">
        <v>0</v>
      </c>
    </row>
    <row r="65" spans="1:31" x14ac:dyDescent="0.3">
      <c r="A65" s="35" t="s">
        <v>67</v>
      </c>
      <c r="B65" s="8">
        <v>2842.5</v>
      </c>
      <c r="C65" s="16">
        <v>1.5</v>
      </c>
      <c r="D65" s="10">
        <v>-17.066666666666666</v>
      </c>
      <c r="E65" s="11">
        <v>1.8666666666666665</v>
      </c>
      <c r="F65" s="16">
        <v>-0.3</v>
      </c>
      <c r="G65" s="17">
        <v>29.2</v>
      </c>
      <c r="H65" s="18">
        <v>8.5588355883558828E-2</v>
      </c>
      <c r="I65">
        <v>72.150476600000005</v>
      </c>
      <c r="J65" s="14">
        <v>6767.9</v>
      </c>
      <c r="K65" s="32">
        <v>1</v>
      </c>
      <c r="L65" s="28">
        <v>3266.4</v>
      </c>
      <c r="M65" s="16">
        <v>8.8000000000000007</v>
      </c>
      <c r="N65" s="10">
        <v>-0.69999999999999984</v>
      </c>
      <c r="O65" s="11">
        <v>2.6</v>
      </c>
      <c r="P65" s="16">
        <v>-0.41</v>
      </c>
      <c r="Q65" s="17">
        <v>29.2</v>
      </c>
      <c r="R65" s="18">
        <v>7.6142652182824344E-2</v>
      </c>
      <c r="S65">
        <v>23.386254879999999</v>
      </c>
      <c r="T65" s="14">
        <v>7503.3</v>
      </c>
      <c r="U65" s="32">
        <v>1</v>
      </c>
      <c r="V65" s="28">
        <v>3385.3</v>
      </c>
      <c r="W65" s="16">
        <v>8.8000000000000007</v>
      </c>
      <c r="X65" s="10">
        <v>-2.2000000000000002</v>
      </c>
      <c r="Y65" s="11">
        <v>2.7999999999999994</v>
      </c>
      <c r="Z65" s="16">
        <v>-0.4</v>
      </c>
      <c r="AA65" s="17">
        <v>29.4</v>
      </c>
      <c r="AB65" s="18">
        <v>5.962924819773429E-2</v>
      </c>
      <c r="AC65">
        <v>0</v>
      </c>
      <c r="AD65" s="14">
        <v>7535.5</v>
      </c>
      <c r="AE65" s="32">
        <v>1</v>
      </c>
    </row>
    <row r="66" spans="1:31" x14ac:dyDescent="0.3">
      <c r="A66" s="35" t="s">
        <v>68</v>
      </c>
      <c r="B66" s="8">
        <v>3452.8</v>
      </c>
      <c r="C66" s="16">
        <v>1.7</v>
      </c>
      <c r="D66" s="10">
        <v>-4.0666666666666664</v>
      </c>
      <c r="E66" s="11">
        <v>1</v>
      </c>
      <c r="F66" s="16">
        <v>-0.47</v>
      </c>
      <c r="G66" s="17">
        <v>29.2</v>
      </c>
      <c r="H66" s="18">
        <v>8.3555738041469929E-2</v>
      </c>
      <c r="I66">
        <v>54.148122800000003</v>
      </c>
      <c r="J66" s="14">
        <v>7480.3</v>
      </c>
      <c r="K66" s="32">
        <v>0</v>
      </c>
      <c r="L66" s="28">
        <v>2842.5</v>
      </c>
      <c r="M66" s="16">
        <v>1.5</v>
      </c>
      <c r="N66" s="10">
        <v>-17.066666666666666</v>
      </c>
      <c r="O66" s="11">
        <v>1.8666666666666665</v>
      </c>
      <c r="P66" s="16">
        <v>-0.3</v>
      </c>
      <c r="Q66" s="17">
        <v>29.2</v>
      </c>
      <c r="R66" s="18">
        <v>8.5588355883558828E-2</v>
      </c>
      <c r="S66">
        <v>72.150476600000005</v>
      </c>
      <c r="T66" s="14">
        <v>6767.9</v>
      </c>
      <c r="U66" s="32">
        <v>1</v>
      </c>
      <c r="V66" s="28">
        <v>3266.4</v>
      </c>
      <c r="W66" s="16">
        <v>8.8000000000000007</v>
      </c>
      <c r="X66" s="10">
        <v>-0.69999999999999984</v>
      </c>
      <c r="Y66" s="11">
        <v>2.6</v>
      </c>
      <c r="Z66" s="16">
        <v>-0.41</v>
      </c>
      <c r="AA66" s="17">
        <v>29.2</v>
      </c>
      <c r="AB66" s="18">
        <v>7.6142652182824344E-2</v>
      </c>
      <c r="AC66">
        <v>23.386254879999999</v>
      </c>
      <c r="AD66" s="14">
        <v>7503.3</v>
      </c>
      <c r="AE66" s="32">
        <v>1</v>
      </c>
    </row>
    <row r="67" spans="1:31" x14ac:dyDescent="0.3">
      <c r="A67" s="35" t="s">
        <v>69</v>
      </c>
      <c r="B67" s="8">
        <v>3742.7</v>
      </c>
      <c r="C67" s="16">
        <v>2.2000000000000002</v>
      </c>
      <c r="D67" s="10">
        <v>-3.8666666666666667</v>
      </c>
      <c r="E67" s="11">
        <v>0.3</v>
      </c>
      <c r="F67" s="16">
        <v>-0.52</v>
      </c>
      <c r="G67" s="17">
        <v>29.2</v>
      </c>
      <c r="H67" s="18">
        <v>7.8659868900218491E-2</v>
      </c>
      <c r="I67">
        <v>66.706931119999993</v>
      </c>
      <c r="J67" s="14">
        <v>7514.5</v>
      </c>
      <c r="K67" s="32">
        <v>0</v>
      </c>
      <c r="L67" s="28">
        <v>3452.8</v>
      </c>
      <c r="M67" s="16">
        <v>1.7</v>
      </c>
      <c r="N67" s="10">
        <v>-4.0666666666666664</v>
      </c>
      <c r="O67" s="11">
        <v>1</v>
      </c>
      <c r="P67" s="16">
        <v>-0.47</v>
      </c>
      <c r="Q67" s="17">
        <v>29.2</v>
      </c>
      <c r="R67" s="18">
        <v>8.3555738041469929E-2</v>
      </c>
      <c r="S67">
        <v>54.148122800000003</v>
      </c>
      <c r="T67" s="14">
        <v>7480.3</v>
      </c>
      <c r="U67" s="32">
        <v>0</v>
      </c>
      <c r="V67" s="28">
        <v>2842.5</v>
      </c>
      <c r="W67" s="16">
        <v>1.5</v>
      </c>
      <c r="X67" s="10">
        <v>-17.066666666666666</v>
      </c>
      <c r="Y67" s="11">
        <v>1.8666666666666665</v>
      </c>
      <c r="Z67" s="16">
        <v>-0.3</v>
      </c>
      <c r="AA67" s="17">
        <v>29.2</v>
      </c>
      <c r="AB67" s="18">
        <v>8.5588355883558828E-2</v>
      </c>
      <c r="AC67">
        <v>72.150476600000005</v>
      </c>
      <c r="AD67" s="14">
        <v>6767.9</v>
      </c>
      <c r="AE67" s="32">
        <v>1</v>
      </c>
    </row>
    <row r="68" spans="1:31" x14ac:dyDescent="0.3">
      <c r="A68" s="35" t="s">
        <v>70</v>
      </c>
      <c r="B68" s="8">
        <v>3526.2</v>
      </c>
      <c r="C68" s="16">
        <v>2.9</v>
      </c>
      <c r="D68" s="10">
        <v>-6.1333333333333329</v>
      </c>
      <c r="E68" s="11">
        <v>-0.26666666666666666</v>
      </c>
      <c r="F68" s="16">
        <v>-0.54</v>
      </c>
      <c r="G68" s="17">
        <v>25.8</v>
      </c>
      <c r="H68" s="18">
        <v>8.0504364694471392E-2</v>
      </c>
      <c r="I68">
        <v>74.106267930000001</v>
      </c>
      <c r="J68" s="14">
        <v>7529.5</v>
      </c>
      <c r="K68" s="32">
        <v>0</v>
      </c>
      <c r="L68" s="28">
        <v>3742.7</v>
      </c>
      <c r="M68" s="16">
        <v>2.2000000000000002</v>
      </c>
      <c r="N68" s="10">
        <v>-3.8666666666666667</v>
      </c>
      <c r="O68" s="11">
        <v>0.3</v>
      </c>
      <c r="P68" s="16">
        <v>-0.52</v>
      </c>
      <c r="Q68" s="17">
        <v>29.2</v>
      </c>
      <c r="R68" s="18">
        <v>7.8659868900218491E-2</v>
      </c>
      <c r="S68">
        <v>66.706931119999993</v>
      </c>
      <c r="T68" s="14">
        <v>7514.5</v>
      </c>
      <c r="U68" s="32">
        <v>0</v>
      </c>
      <c r="V68" s="28">
        <v>3452.8</v>
      </c>
      <c r="W68" s="16">
        <v>1.7</v>
      </c>
      <c r="X68" s="10">
        <v>-4.0666666666666664</v>
      </c>
      <c r="Y68" s="11">
        <v>1</v>
      </c>
      <c r="Z68" s="16">
        <v>-0.47</v>
      </c>
      <c r="AA68" s="17">
        <v>29.2</v>
      </c>
      <c r="AB68" s="18">
        <v>8.3555738041469929E-2</v>
      </c>
      <c r="AC68">
        <v>54.148122800000003</v>
      </c>
      <c r="AD68" s="14">
        <v>7480.3</v>
      </c>
      <c r="AE68" s="32">
        <v>0</v>
      </c>
    </row>
    <row r="69" spans="1:31" x14ac:dyDescent="0.3">
      <c r="A69" s="35" t="s">
        <v>71</v>
      </c>
      <c r="B69" s="8">
        <v>3776</v>
      </c>
      <c r="C69" s="16">
        <v>12.1</v>
      </c>
      <c r="D69" s="10">
        <v>1.6333333333333331</v>
      </c>
      <c r="E69" s="11">
        <v>0</v>
      </c>
      <c r="F69" s="16">
        <v>-0.54</v>
      </c>
      <c r="G69" s="17">
        <v>25.8</v>
      </c>
      <c r="H69" s="18">
        <v>7.8494278686771474E-2</v>
      </c>
      <c r="I69">
        <v>67.044883850000005</v>
      </c>
      <c r="J69" s="14">
        <v>7604.8</v>
      </c>
      <c r="K69" s="32">
        <v>0</v>
      </c>
      <c r="L69" s="28">
        <v>3526.2</v>
      </c>
      <c r="M69" s="16">
        <v>2.9</v>
      </c>
      <c r="N69" s="10">
        <v>-6.1333333333333329</v>
      </c>
      <c r="O69" s="11">
        <v>-0.26666666666666666</v>
      </c>
      <c r="P69" s="16">
        <v>-0.54</v>
      </c>
      <c r="Q69" s="17">
        <v>25.8</v>
      </c>
      <c r="R69" s="18">
        <v>8.0504364694471392E-2</v>
      </c>
      <c r="S69">
        <v>74.106267930000001</v>
      </c>
      <c r="T69" s="14">
        <v>7529.5</v>
      </c>
      <c r="U69" s="32">
        <v>0</v>
      </c>
      <c r="V69" s="28">
        <v>3742.7</v>
      </c>
      <c r="W69" s="16">
        <v>2.2000000000000002</v>
      </c>
      <c r="X69" s="10">
        <v>-3.8666666666666667</v>
      </c>
      <c r="Y69" s="11">
        <v>0.3</v>
      </c>
      <c r="Z69" s="16">
        <v>-0.52</v>
      </c>
      <c r="AA69" s="17">
        <v>29.2</v>
      </c>
      <c r="AB69" s="18">
        <v>7.8659868900218491E-2</v>
      </c>
      <c r="AC69">
        <v>66.706931119999993</v>
      </c>
      <c r="AD69" s="14">
        <v>7514.5</v>
      </c>
      <c r="AE69" s="32">
        <v>0</v>
      </c>
    </row>
    <row r="70" spans="1:31" x14ac:dyDescent="0.3">
      <c r="A70" s="35" t="s">
        <v>72</v>
      </c>
      <c r="B70" s="8">
        <v>4388.7</v>
      </c>
      <c r="C70" s="16">
        <v>12.4</v>
      </c>
      <c r="D70" s="10">
        <v>1.8333333333333333</v>
      </c>
      <c r="E70" s="11">
        <v>0.93333333333333324</v>
      </c>
      <c r="F70" s="16">
        <v>-0.55000000000000004</v>
      </c>
      <c r="G70" s="17">
        <v>25.8</v>
      </c>
      <c r="H70" s="18">
        <v>7.1867061812023722E-2</v>
      </c>
      <c r="I70">
        <v>48.842639079999998</v>
      </c>
      <c r="J70" s="14">
        <v>8047.1</v>
      </c>
      <c r="K70" s="32">
        <v>0</v>
      </c>
      <c r="L70" s="28">
        <v>3776</v>
      </c>
      <c r="M70" s="16">
        <v>12.1</v>
      </c>
      <c r="N70" s="10">
        <v>1.6333333333333331</v>
      </c>
      <c r="O70" s="11">
        <v>0</v>
      </c>
      <c r="P70" s="16">
        <v>-0.54</v>
      </c>
      <c r="Q70" s="17">
        <v>25.8</v>
      </c>
      <c r="R70" s="18">
        <v>7.8494278686771474E-2</v>
      </c>
      <c r="S70">
        <v>67.044883850000005</v>
      </c>
      <c r="T70" s="14">
        <v>7604.8</v>
      </c>
      <c r="U70" s="32">
        <v>0</v>
      </c>
      <c r="V70" s="28">
        <v>3526.2</v>
      </c>
      <c r="W70" s="16">
        <v>2.9</v>
      </c>
      <c r="X70" s="10">
        <v>-6.1333333333333329</v>
      </c>
      <c r="Y70" s="11">
        <v>-0.26666666666666666</v>
      </c>
      <c r="Z70" s="16">
        <v>-0.54</v>
      </c>
      <c r="AA70" s="17">
        <v>25.8</v>
      </c>
      <c r="AB70" s="18">
        <v>8.0504364694471392E-2</v>
      </c>
      <c r="AC70">
        <v>74.106267930000001</v>
      </c>
      <c r="AD70" s="14">
        <v>7529.5</v>
      </c>
      <c r="AE70" s="32">
        <v>0</v>
      </c>
    </row>
    <row r="71" spans="1:31" x14ac:dyDescent="0.3">
      <c r="A71" s="35" t="s">
        <v>73</v>
      </c>
      <c r="B71" s="8">
        <v>4761.5</v>
      </c>
      <c r="C71" s="16">
        <v>16.100000000000001</v>
      </c>
      <c r="D71" s="10">
        <v>-0.73333333333333339</v>
      </c>
      <c r="E71" s="11">
        <v>2.5333333333333337</v>
      </c>
      <c r="F71" s="16">
        <v>-0.56999999999999995</v>
      </c>
      <c r="G71" s="17">
        <v>25.8</v>
      </c>
      <c r="H71" s="18">
        <v>7.1451595573224447E-2</v>
      </c>
      <c r="I71">
        <v>43.05785556</v>
      </c>
      <c r="J71" s="14">
        <v>8040.2</v>
      </c>
      <c r="K71" s="32">
        <v>1</v>
      </c>
      <c r="L71" s="28">
        <v>4388.7</v>
      </c>
      <c r="M71" s="16">
        <v>12.4</v>
      </c>
      <c r="N71" s="10">
        <v>1.8333333333333333</v>
      </c>
      <c r="O71" s="11">
        <v>0.93333333333333324</v>
      </c>
      <c r="P71" s="16">
        <v>-0.55000000000000004</v>
      </c>
      <c r="Q71" s="17">
        <v>25.8</v>
      </c>
      <c r="R71" s="18">
        <v>7.1867061812023722E-2</v>
      </c>
      <c r="S71">
        <v>48.842639079999998</v>
      </c>
      <c r="T71" s="14">
        <v>8047.1</v>
      </c>
      <c r="U71" s="32">
        <v>0</v>
      </c>
      <c r="V71" s="28">
        <v>3776</v>
      </c>
      <c r="W71" s="16">
        <v>12.1</v>
      </c>
      <c r="X71" s="10">
        <v>1.6333333333333331</v>
      </c>
      <c r="Y71" s="11">
        <v>0</v>
      </c>
      <c r="Z71" s="16">
        <v>-0.54</v>
      </c>
      <c r="AA71" s="17">
        <v>25.8</v>
      </c>
      <c r="AB71" s="18">
        <v>7.8494278686771474E-2</v>
      </c>
      <c r="AC71">
        <v>67.044883850000005</v>
      </c>
      <c r="AD71" s="14">
        <v>7604.8</v>
      </c>
      <c r="AE71" s="32">
        <v>0</v>
      </c>
    </row>
    <row r="72" spans="1:31" x14ac:dyDescent="0.3">
      <c r="A72" s="35" t="s">
        <v>74</v>
      </c>
      <c r="B72" s="8">
        <v>4886.7</v>
      </c>
      <c r="C72" s="16">
        <v>17.399999999999999</v>
      </c>
      <c r="D72" s="10">
        <v>-1.2666666666666666</v>
      </c>
      <c r="E72" s="11">
        <v>4.7</v>
      </c>
      <c r="F72" s="16">
        <v>-0.53</v>
      </c>
      <c r="G72" s="17">
        <v>27.1</v>
      </c>
      <c r="H72" s="18">
        <v>7.254881041288809E-2</v>
      </c>
      <c r="I72">
        <v>40.564510310000003</v>
      </c>
      <c r="J72" s="14">
        <v>8010.4</v>
      </c>
      <c r="K72" s="32">
        <v>1</v>
      </c>
      <c r="L72" s="28">
        <v>4761.5</v>
      </c>
      <c r="M72" s="16">
        <v>16.100000000000001</v>
      </c>
      <c r="N72" s="10">
        <v>-0.73333333333333339</v>
      </c>
      <c r="O72" s="11">
        <v>2.5333333333333337</v>
      </c>
      <c r="P72" s="16">
        <v>-0.56999999999999995</v>
      </c>
      <c r="Q72" s="17">
        <v>25.8</v>
      </c>
      <c r="R72" s="18">
        <v>7.1451595573224447E-2</v>
      </c>
      <c r="S72">
        <v>43.05785556</v>
      </c>
      <c r="T72" s="14">
        <v>8040.2</v>
      </c>
      <c r="U72" s="32">
        <v>1</v>
      </c>
      <c r="V72" s="28">
        <v>4388.7</v>
      </c>
      <c r="W72" s="16">
        <v>12.4</v>
      </c>
      <c r="X72" s="10">
        <v>1.8333333333333333</v>
      </c>
      <c r="Y72" s="11">
        <v>0.93333333333333324</v>
      </c>
      <c r="Z72" s="16">
        <v>-0.55000000000000004</v>
      </c>
      <c r="AA72" s="17">
        <v>25.8</v>
      </c>
      <c r="AB72" s="18">
        <v>7.1867061812023722E-2</v>
      </c>
      <c r="AC72">
        <v>48.842639079999998</v>
      </c>
      <c r="AD72" s="14">
        <v>8047.1</v>
      </c>
      <c r="AE72" s="32">
        <v>0</v>
      </c>
    </row>
    <row r="73" spans="1:31" x14ac:dyDescent="0.3">
      <c r="A73" s="35" t="s">
        <v>75</v>
      </c>
      <c r="B73" s="8">
        <v>5191.8</v>
      </c>
      <c r="C73" s="16">
        <v>16.3</v>
      </c>
      <c r="D73" s="10">
        <v>-3.5</v>
      </c>
      <c r="E73" s="11">
        <v>7.7666666666666657</v>
      </c>
      <c r="F73" s="16">
        <v>-0.36</v>
      </c>
      <c r="G73" s="17">
        <v>27.1</v>
      </c>
      <c r="H73" s="18">
        <v>6.6244725738396626E-2</v>
      </c>
      <c r="I73">
        <v>22.351230640000001</v>
      </c>
      <c r="J73" s="14">
        <v>7987.7</v>
      </c>
      <c r="K73" s="32">
        <v>1</v>
      </c>
      <c r="L73" s="28">
        <v>4886.7</v>
      </c>
      <c r="M73" s="16">
        <v>17.399999999999999</v>
      </c>
      <c r="N73" s="10">
        <v>-1.2666666666666666</v>
      </c>
      <c r="O73" s="11">
        <v>4.7</v>
      </c>
      <c r="P73" s="16">
        <v>-0.53</v>
      </c>
      <c r="Q73" s="17">
        <v>27.1</v>
      </c>
      <c r="R73" s="18">
        <v>7.254881041288809E-2</v>
      </c>
      <c r="S73">
        <v>40.564510310000003</v>
      </c>
      <c r="T73" s="14">
        <v>8010.4</v>
      </c>
      <c r="U73" s="32">
        <v>1</v>
      </c>
      <c r="V73" s="28">
        <v>4761.5</v>
      </c>
      <c r="W73" s="16">
        <v>16.100000000000001</v>
      </c>
      <c r="X73" s="10">
        <v>-0.73333333333333339</v>
      </c>
      <c r="Y73" s="11">
        <v>2.5333333333333337</v>
      </c>
      <c r="Z73" s="16">
        <v>-0.56999999999999995</v>
      </c>
      <c r="AA73" s="17">
        <v>25.8</v>
      </c>
      <c r="AB73" s="18">
        <v>7.1451595573224447E-2</v>
      </c>
      <c r="AC73">
        <v>43.05785556</v>
      </c>
      <c r="AD73" s="14">
        <v>8040.2</v>
      </c>
      <c r="AE73" s="32">
        <v>1</v>
      </c>
    </row>
    <row r="74" spans="1:31" x14ac:dyDescent="0.3">
      <c r="A74" s="35" t="s">
        <v>76</v>
      </c>
      <c r="B74" s="8">
        <v>5692.3</v>
      </c>
      <c r="C74" s="16">
        <v>13.6</v>
      </c>
      <c r="D74" s="10">
        <v>-5.3</v>
      </c>
      <c r="E74" s="11">
        <v>12.199999999999998</v>
      </c>
      <c r="F74" s="16">
        <v>0.48</v>
      </c>
      <c r="G74" s="17">
        <v>27.1</v>
      </c>
      <c r="H74" s="18">
        <v>6.8744176415778041E-2</v>
      </c>
      <c r="I74">
        <v>16.2093709</v>
      </c>
      <c r="J74" s="14">
        <v>7982.9</v>
      </c>
      <c r="K74" s="32">
        <v>1</v>
      </c>
      <c r="L74" s="28">
        <v>5191.8</v>
      </c>
      <c r="M74" s="16">
        <v>16.3</v>
      </c>
      <c r="N74" s="10">
        <v>-3.5</v>
      </c>
      <c r="O74" s="11">
        <v>7.7666666666666657</v>
      </c>
      <c r="P74" s="16">
        <v>-0.36</v>
      </c>
      <c r="Q74" s="17">
        <v>27.1</v>
      </c>
      <c r="R74" s="18">
        <v>6.6244725738396626E-2</v>
      </c>
      <c r="S74">
        <v>22.351230640000001</v>
      </c>
      <c r="T74" s="14">
        <v>7987.7</v>
      </c>
      <c r="U74" s="32">
        <v>1</v>
      </c>
      <c r="V74" s="28">
        <v>4886.7</v>
      </c>
      <c r="W74" s="16">
        <v>17.399999999999999</v>
      </c>
      <c r="X74" s="10">
        <v>-1.2666666666666666</v>
      </c>
      <c r="Y74" s="11">
        <v>4.7</v>
      </c>
      <c r="Z74" s="16">
        <v>-0.53</v>
      </c>
      <c r="AA74" s="17">
        <v>27.1</v>
      </c>
      <c r="AB74" s="18">
        <v>7.254881041288809E-2</v>
      </c>
      <c r="AC74">
        <v>40.564510310000003</v>
      </c>
      <c r="AD74" s="14">
        <v>8010.4</v>
      </c>
      <c r="AE74" s="32">
        <v>1</v>
      </c>
    </row>
    <row r="75" spans="1:31" x14ac:dyDescent="0.3">
      <c r="A75" s="35" t="s">
        <v>77</v>
      </c>
      <c r="B75" s="8">
        <v>5563.7</v>
      </c>
      <c r="C75" s="16">
        <v>8.6</v>
      </c>
      <c r="D75" s="10">
        <v>-8.8666666666666671</v>
      </c>
      <c r="E75" s="11">
        <v>16.133333333333333</v>
      </c>
      <c r="F75" s="16">
        <v>1.77</v>
      </c>
      <c r="G75" s="17">
        <v>27.1</v>
      </c>
      <c r="H75" s="18">
        <v>6.6554868462425323E-2</v>
      </c>
      <c r="I75">
        <v>15.284275729999999</v>
      </c>
      <c r="J75" s="14">
        <v>7994.7</v>
      </c>
      <c r="K75" s="32">
        <v>0</v>
      </c>
      <c r="L75" s="28">
        <v>5692.3</v>
      </c>
      <c r="M75" s="16">
        <v>13.6</v>
      </c>
      <c r="N75" s="10">
        <v>-5.3</v>
      </c>
      <c r="O75" s="11">
        <v>12.199999999999998</v>
      </c>
      <c r="P75" s="16">
        <v>0.48</v>
      </c>
      <c r="Q75" s="17">
        <v>27.1</v>
      </c>
      <c r="R75" s="18">
        <v>6.8744176415778041E-2</v>
      </c>
      <c r="S75">
        <v>16.2093709</v>
      </c>
      <c r="T75" s="14">
        <v>7982.9</v>
      </c>
      <c r="U75" s="32">
        <v>1</v>
      </c>
      <c r="V75" s="28">
        <v>5191.8</v>
      </c>
      <c r="W75" s="16">
        <v>16.3</v>
      </c>
      <c r="X75" s="10">
        <v>-3.5</v>
      </c>
      <c r="Y75" s="11">
        <v>7.7666666666666657</v>
      </c>
      <c r="Z75" s="16">
        <v>-0.36</v>
      </c>
      <c r="AA75" s="17">
        <v>27.1</v>
      </c>
      <c r="AB75" s="18">
        <v>6.6244725738396626E-2</v>
      </c>
      <c r="AC75">
        <v>22.351230640000001</v>
      </c>
      <c r="AD75" s="14">
        <v>7987.7</v>
      </c>
      <c r="AE75" s="32">
        <v>1</v>
      </c>
    </row>
    <row r="76" spans="1:31" x14ac:dyDescent="0.3">
      <c r="A76" s="23" t="s">
        <v>79</v>
      </c>
      <c r="B76" s="8">
        <v>5122.5</v>
      </c>
      <c r="C76" s="11">
        <v>5.9</v>
      </c>
      <c r="D76" s="10">
        <v>-7.666666666666667</v>
      </c>
      <c r="E76" s="11">
        <v>19.133333333333336</v>
      </c>
      <c r="F76" s="24">
        <v>2.6359538461538468</v>
      </c>
      <c r="G76" s="23">
        <v>28.4</v>
      </c>
      <c r="H76" s="13">
        <v>6.3603488619442664E-2</v>
      </c>
      <c r="I76">
        <v>13.373741259999999</v>
      </c>
      <c r="J76" s="14">
        <v>8001.6</v>
      </c>
      <c r="K76" s="32">
        <v>0</v>
      </c>
      <c r="L76" s="28">
        <v>5563.7</v>
      </c>
      <c r="M76" s="16">
        <v>8.6</v>
      </c>
      <c r="N76" s="10">
        <v>-8.8666666666666671</v>
      </c>
      <c r="O76" s="11">
        <v>16.133333333333333</v>
      </c>
      <c r="P76" s="16">
        <v>1.77</v>
      </c>
      <c r="Q76" s="17">
        <v>27.1</v>
      </c>
      <c r="R76" s="18">
        <v>6.6554868462425323E-2</v>
      </c>
      <c r="S76">
        <v>15.284275729999999</v>
      </c>
      <c r="T76" s="14">
        <v>7994.7</v>
      </c>
      <c r="U76" s="32">
        <v>0</v>
      </c>
      <c r="V76" s="28">
        <v>5692.3</v>
      </c>
      <c r="W76" s="16">
        <v>13.6</v>
      </c>
      <c r="X76" s="10">
        <v>-5.3</v>
      </c>
      <c r="Y76" s="11">
        <v>12.199999999999998</v>
      </c>
      <c r="Z76" s="16">
        <v>0.48</v>
      </c>
      <c r="AA76" s="17">
        <v>27.1</v>
      </c>
      <c r="AB76" s="18">
        <v>6.8744176415778041E-2</v>
      </c>
      <c r="AC76">
        <v>16.2093709</v>
      </c>
      <c r="AD76" s="14">
        <v>7982.9</v>
      </c>
      <c r="AE76" s="32">
        <v>1</v>
      </c>
    </row>
    <row r="77" spans="1:31" x14ac:dyDescent="0.3">
      <c r="A77" s="23" t="s">
        <v>80</v>
      </c>
      <c r="B77" s="8">
        <v>4625.1000000000004</v>
      </c>
      <c r="C77" s="11">
        <v>5.4</v>
      </c>
      <c r="D77" s="10">
        <v>-8.0333333333333332</v>
      </c>
      <c r="E77" s="11">
        <v>19.166666666666668</v>
      </c>
      <c r="F77" s="24">
        <v>3.3741451612903233</v>
      </c>
      <c r="G77" s="23">
        <v>28.4</v>
      </c>
      <c r="H77" s="13">
        <v>6.3910567390845816E-2</v>
      </c>
      <c r="I77">
        <v>11.463206789999999</v>
      </c>
      <c r="J77" s="14">
        <v>7905.8</v>
      </c>
      <c r="K77" s="32">
        <v>1</v>
      </c>
      <c r="L77" s="28">
        <v>5122.5</v>
      </c>
      <c r="M77" s="11">
        <v>5.9</v>
      </c>
      <c r="N77" s="10">
        <v>-7.666666666666667</v>
      </c>
      <c r="O77" s="11">
        <v>19.133333333333336</v>
      </c>
      <c r="P77" s="24">
        <v>2.6359538461538468</v>
      </c>
      <c r="Q77" s="23">
        <v>28.4</v>
      </c>
      <c r="R77" s="13">
        <v>6.3603488619442664E-2</v>
      </c>
      <c r="S77">
        <v>13.373741259999999</v>
      </c>
      <c r="T77" s="14">
        <v>8001.6</v>
      </c>
      <c r="U77" s="32">
        <v>0</v>
      </c>
      <c r="V77" s="28">
        <v>5563.7</v>
      </c>
      <c r="W77" s="16">
        <v>8.6</v>
      </c>
      <c r="X77" s="10">
        <v>-8.8666666666666671</v>
      </c>
      <c r="Y77" s="11">
        <v>16.133333333333333</v>
      </c>
      <c r="Z77" s="16">
        <v>1.77</v>
      </c>
      <c r="AA77" s="17">
        <v>27.1</v>
      </c>
      <c r="AB77" s="18">
        <v>6.6554868462425323E-2</v>
      </c>
      <c r="AC77">
        <v>15.284275729999999</v>
      </c>
      <c r="AD77" s="14">
        <v>7994.7</v>
      </c>
      <c r="AE77" s="32">
        <v>0</v>
      </c>
    </row>
    <row r="78" spans="1:31" x14ac:dyDescent="0.3">
      <c r="A78" s="23" t="s">
        <v>81</v>
      </c>
      <c r="B78" s="8">
        <v>4414.8999999999996</v>
      </c>
      <c r="C78" s="11">
        <v>3</v>
      </c>
      <c r="D78" s="10">
        <v>-7.5</v>
      </c>
      <c r="E78" s="11">
        <v>15.533333333333333</v>
      </c>
      <c r="F78" s="24">
        <v>3.7774769230769234</v>
      </c>
      <c r="G78" s="23">
        <v>28.4</v>
      </c>
      <c r="H78" s="13">
        <v>6.4573708525829485E-2</v>
      </c>
      <c r="I78">
        <v>9.5526723199999992</v>
      </c>
      <c r="J78" s="14">
        <v>7882.7</v>
      </c>
      <c r="K78" s="32">
        <v>1</v>
      </c>
      <c r="L78" s="28">
        <v>4625.1000000000004</v>
      </c>
      <c r="M78" s="11">
        <v>5.4</v>
      </c>
      <c r="N78" s="10">
        <v>-8.0333333333333332</v>
      </c>
      <c r="O78" s="11">
        <v>19.166666666666668</v>
      </c>
      <c r="P78" s="24">
        <v>3.3741451612903233</v>
      </c>
      <c r="Q78" s="23">
        <v>28.4</v>
      </c>
      <c r="R78" s="13">
        <v>6.3910567390845816E-2</v>
      </c>
      <c r="S78">
        <v>11.463206789999999</v>
      </c>
      <c r="T78" s="14">
        <v>7905.8</v>
      </c>
      <c r="U78" s="32">
        <v>1</v>
      </c>
      <c r="V78" s="28">
        <v>5122.5</v>
      </c>
      <c r="W78" s="11">
        <v>5.9</v>
      </c>
      <c r="X78" s="10">
        <v>-7.666666666666667</v>
      </c>
      <c r="Y78" s="11">
        <v>19.133333333333336</v>
      </c>
      <c r="Z78" s="24">
        <v>2.6359538461538468</v>
      </c>
      <c r="AA78" s="23">
        <v>28.4</v>
      </c>
      <c r="AB78" s="13">
        <v>6.3603488619442664E-2</v>
      </c>
      <c r="AC78">
        <v>13.373741259999999</v>
      </c>
      <c r="AD78" s="14">
        <v>8001.6</v>
      </c>
      <c r="AE78" s="32">
        <v>0</v>
      </c>
    </row>
    <row r="79" spans="1:31" x14ac:dyDescent="0.3">
      <c r="A79" s="23" t="s">
        <v>82</v>
      </c>
      <c r="B79" s="8">
        <v>4833.7</v>
      </c>
      <c r="C79" s="11">
        <v>0.8</v>
      </c>
      <c r="D79" s="10">
        <v>-8.8666666666666671</v>
      </c>
      <c r="E79" s="11">
        <v>10.733333333333334</v>
      </c>
      <c r="F79" s="24">
        <v>3.9591587301587294</v>
      </c>
      <c r="G79" s="23">
        <v>28.4</v>
      </c>
      <c r="H79" s="13">
        <v>6.8160101921647731E-2</v>
      </c>
      <c r="I79">
        <v>7.6421378499999992</v>
      </c>
      <c r="J79" s="14">
        <v>7835.6</v>
      </c>
      <c r="K79" s="32">
        <v>1</v>
      </c>
      <c r="L79" s="28">
        <v>4414.8999999999996</v>
      </c>
      <c r="M79" s="11">
        <v>3</v>
      </c>
      <c r="N79" s="10">
        <v>-7.5</v>
      </c>
      <c r="O79" s="11">
        <v>15.533333333333333</v>
      </c>
      <c r="P79" s="24">
        <v>3.7774769230769234</v>
      </c>
      <c r="Q79" s="23">
        <v>28.4</v>
      </c>
      <c r="R79" s="13">
        <v>6.4573708525829485E-2</v>
      </c>
      <c r="S79">
        <v>9.5526723199999992</v>
      </c>
      <c r="T79" s="14">
        <v>7882.7</v>
      </c>
      <c r="U79" s="32">
        <v>1</v>
      </c>
      <c r="V79" s="28">
        <v>4625.1000000000004</v>
      </c>
      <c r="W79" s="11">
        <v>5.4</v>
      </c>
      <c r="X79" s="10">
        <v>-8.0333333333333332</v>
      </c>
      <c r="Y79" s="11">
        <v>19.166666666666668</v>
      </c>
      <c r="Z79" s="24">
        <v>3.3741451612903233</v>
      </c>
      <c r="AA79" s="23">
        <v>28.4</v>
      </c>
      <c r="AB79" s="13">
        <v>6.3910567390845816E-2</v>
      </c>
      <c r="AC79">
        <v>11.463206789999999</v>
      </c>
      <c r="AD79" s="14">
        <v>7905.8</v>
      </c>
      <c r="AE79" s="32">
        <v>1</v>
      </c>
    </row>
    <row r="80" spans="1:31" x14ac:dyDescent="0.3">
      <c r="A80" s="23" t="s">
        <v>83</v>
      </c>
      <c r="B80" s="8">
        <v>4810.5</v>
      </c>
      <c r="C80" s="11">
        <v>3.6</v>
      </c>
      <c r="D80" s="10">
        <v>-6.5333333333333341</v>
      </c>
      <c r="E80" s="11">
        <v>6.0333333333333341</v>
      </c>
      <c r="F80" s="24">
        <v>3.9238888888888885</v>
      </c>
      <c r="G80" s="23">
        <v>26.7</v>
      </c>
      <c r="H80" s="13">
        <v>7.2422517394054392E-2</v>
      </c>
      <c r="I80">
        <f>I79-I78+I79</f>
        <v>5.7316033799999992</v>
      </c>
      <c r="J80" s="14">
        <v>7836.4</v>
      </c>
      <c r="K80" s="32">
        <v>0</v>
      </c>
      <c r="L80" s="28">
        <v>4833.7</v>
      </c>
      <c r="M80" s="11">
        <v>0.8</v>
      </c>
      <c r="N80" s="10">
        <v>-8.8666666666666671</v>
      </c>
      <c r="O80" s="11">
        <v>10.733333333333334</v>
      </c>
      <c r="P80" s="24">
        <v>3.9591587301587294</v>
      </c>
      <c r="Q80" s="23">
        <v>28.4</v>
      </c>
      <c r="R80" s="13">
        <v>6.8160101921647731E-2</v>
      </c>
      <c r="S80">
        <v>7.6421378499999992</v>
      </c>
      <c r="T80" s="14">
        <v>7835.6</v>
      </c>
      <c r="U80" s="32">
        <v>1</v>
      </c>
      <c r="V80" s="28">
        <v>4414.8999999999996</v>
      </c>
      <c r="W80" s="11">
        <v>3</v>
      </c>
      <c r="X80" s="10">
        <v>-7.5</v>
      </c>
      <c r="Y80" s="11">
        <v>15.533333333333333</v>
      </c>
      <c r="Z80" s="24">
        <v>3.7774769230769234</v>
      </c>
      <c r="AA80" s="23">
        <v>28.4</v>
      </c>
      <c r="AB80" s="13">
        <v>6.4573708525829485E-2</v>
      </c>
      <c r="AC80">
        <v>9.5526723199999992</v>
      </c>
      <c r="AD80" s="14">
        <v>7882.7</v>
      </c>
      <c r="AE80" s="32">
        <v>1</v>
      </c>
    </row>
    <row r="81" spans="1:31" x14ac:dyDescent="0.3">
      <c r="A81" s="23" t="s">
        <v>84</v>
      </c>
      <c r="B81" s="8">
        <v>4541.3999999999996</v>
      </c>
      <c r="C81" s="11">
        <v>0.7</v>
      </c>
      <c r="D81" s="10">
        <v>-6.6333333333333329</v>
      </c>
      <c r="E81" s="11">
        <v>2.7666666666666671</v>
      </c>
      <c r="F81" s="24">
        <v>3.8089047619047616</v>
      </c>
      <c r="G81" s="23">
        <v>26.7</v>
      </c>
      <c r="H81" s="13">
        <v>6.9394642480489335E-2</v>
      </c>
      <c r="I81">
        <f>I80-I79+I80</f>
        <v>3.8210689099999993</v>
      </c>
      <c r="J81" s="14">
        <v>7881.1</v>
      </c>
      <c r="K81" s="32">
        <v>0</v>
      </c>
      <c r="L81" s="28">
        <v>4810.5</v>
      </c>
      <c r="M81" s="11">
        <v>3.6</v>
      </c>
      <c r="N81" s="10">
        <v>-6.5333333333333341</v>
      </c>
      <c r="O81" s="11">
        <v>6.0333333333333341</v>
      </c>
      <c r="P81" s="24">
        <v>3.9238888888888885</v>
      </c>
      <c r="Q81" s="23">
        <v>26.7</v>
      </c>
      <c r="R81" s="13">
        <v>7.2422517394054392E-2</v>
      </c>
      <c r="S81">
        <f>S80-S79+S80</f>
        <v>5.7316033799999992</v>
      </c>
      <c r="T81" s="14">
        <v>7836.4</v>
      </c>
      <c r="U81" s="32">
        <v>0</v>
      </c>
      <c r="V81" s="28">
        <v>4833.7</v>
      </c>
      <c r="W81" s="11">
        <v>0.8</v>
      </c>
      <c r="X81" s="10">
        <v>-8.8666666666666671</v>
      </c>
      <c r="Y81" s="11">
        <v>10.733333333333334</v>
      </c>
      <c r="Z81" s="24">
        <v>3.9591587301587294</v>
      </c>
      <c r="AA81" s="23">
        <v>28.4</v>
      </c>
      <c r="AB81" s="13">
        <v>6.8160101921647731E-2</v>
      </c>
      <c r="AC81">
        <v>7.6421378499999992</v>
      </c>
      <c r="AD81" s="14">
        <v>7835.6</v>
      </c>
      <c r="AE81" s="32">
        <v>1</v>
      </c>
    </row>
    <row r="82" spans="1:31" x14ac:dyDescent="0.3">
      <c r="A82" s="23" t="s">
        <v>85</v>
      </c>
      <c r="B82" s="8">
        <v>4600.8</v>
      </c>
      <c r="C82" s="11">
        <v>5.3</v>
      </c>
      <c r="D82" s="10">
        <v>-7.9666666666666677</v>
      </c>
      <c r="E82" s="11">
        <v>1.3</v>
      </c>
      <c r="F82" s="24">
        <v>3.5591818181818184</v>
      </c>
      <c r="G82" s="23">
        <v>26.7</v>
      </c>
      <c r="H82" s="13">
        <v>6.6800975506308979E-2</v>
      </c>
      <c r="I82">
        <f>I81-I80+I81</f>
        <v>1.9105344399999993</v>
      </c>
      <c r="J82" s="14">
        <v>7898</v>
      </c>
      <c r="K82" s="32">
        <v>0</v>
      </c>
      <c r="L82" s="28">
        <v>4541.3999999999996</v>
      </c>
      <c r="M82" s="11">
        <v>0.7</v>
      </c>
      <c r="N82" s="10">
        <v>-6.6333333333333329</v>
      </c>
      <c r="O82" s="11">
        <v>2.7666666666666671</v>
      </c>
      <c r="P82" s="24">
        <v>3.8089047619047616</v>
      </c>
      <c r="Q82" s="23">
        <v>26.7</v>
      </c>
      <c r="R82" s="13">
        <v>6.9394642480489335E-2</v>
      </c>
      <c r="S82">
        <f>S81-S80+S81</f>
        <v>3.8210689099999993</v>
      </c>
      <c r="T82" s="14">
        <v>7881.1</v>
      </c>
      <c r="U82" s="32">
        <v>0</v>
      </c>
      <c r="V82" s="28">
        <v>4810.5</v>
      </c>
      <c r="W82" s="11">
        <v>3.6</v>
      </c>
      <c r="X82" s="10">
        <v>-6.5333333333333341</v>
      </c>
      <c r="Y82" s="11">
        <v>6.0333333333333341</v>
      </c>
      <c r="Z82" s="24">
        <v>3.9238888888888885</v>
      </c>
      <c r="AA82" s="23">
        <v>26.7</v>
      </c>
      <c r="AB82" s="13">
        <v>7.2422517394054392E-2</v>
      </c>
      <c r="AC82">
        <f>AC81-AC80+AC81</f>
        <v>5.7316033799999992</v>
      </c>
      <c r="AD82" s="14">
        <v>7836.4</v>
      </c>
      <c r="AE82" s="32">
        <v>0</v>
      </c>
    </row>
    <row r="83" spans="1:31" x14ac:dyDescent="0.3">
      <c r="A83" s="23" t="s">
        <v>86</v>
      </c>
      <c r="B83" s="8">
        <v>4887</v>
      </c>
      <c r="C83" s="11">
        <v>7.3</v>
      </c>
      <c r="D83" s="10">
        <v>-5.666666666666667</v>
      </c>
      <c r="E83" s="11">
        <v>1.1333333333333335</v>
      </c>
      <c r="F83" s="24">
        <v>3.007281250000001</v>
      </c>
      <c r="G83" s="23">
        <v>26.7</v>
      </c>
      <c r="H83" s="13">
        <v>6.8528464017185819E-2</v>
      </c>
      <c r="I83">
        <v>0</v>
      </c>
      <c r="J83" s="14">
        <v>7927.2</v>
      </c>
      <c r="K83" s="32">
        <v>0</v>
      </c>
      <c r="L83" s="28">
        <v>4600.8</v>
      </c>
      <c r="M83" s="11">
        <v>5.3</v>
      </c>
      <c r="N83" s="10">
        <v>-7.9666666666666677</v>
      </c>
      <c r="O83" s="11">
        <v>1.3</v>
      </c>
      <c r="P83" s="24">
        <v>3.5591818181818184</v>
      </c>
      <c r="Q83" s="23">
        <v>26.7</v>
      </c>
      <c r="R83" s="13">
        <v>6.6800975506308979E-2</v>
      </c>
      <c r="S83">
        <f>S82-S81+S82</f>
        <v>1.9105344399999993</v>
      </c>
      <c r="T83" s="14">
        <v>7898</v>
      </c>
      <c r="U83" s="32">
        <v>0</v>
      </c>
      <c r="V83" s="28">
        <v>4541.3999999999996</v>
      </c>
      <c r="W83" s="11">
        <v>0.7</v>
      </c>
      <c r="X83" s="10">
        <v>-6.6333333333333329</v>
      </c>
      <c r="Y83" s="11">
        <v>2.7666666666666671</v>
      </c>
      <c r="Z83" s="24">
        <v>3.8089047619047616</v>
      </c>
      <c r="AA83" s="23">
        <v>26.7</v>
      </c>
      <c r="AB83" s="13">
        <v>6.9394642480489335E-2</v>
      </c>
      <c r="AC83">
        <f>AC82-AC81+AC82</f>
        <v>3.8210689099999993</v>
      </c>
      <c r="AD83" s="14">
        <v>7881.1</v>
      </c>
      <c r="AE83" s="32">
        <v>0</v>
      </c>
    </row>
    <row r="84" spans="1:31" x14ac:dyDescent="0.3">
      <c r="A84" s="23" t="s">
        <v>87</v>
      </c>
      <c r="B84" s="8">
        <v>5060.8999999999996</v>
      </c>
      <c r="C84" s="11">
        <v>5.4</v>
      </c>
      <c r="D84" s="10">
        <v>-6.166666666666667</v>
      </c>
      <c r="E84" s="11">
        <v>1.7666666666666666</v>
      </c>
      <c r="F84" s="24">
        <v>2.5600634920634913</v>
      </c>
      <c r="G84" s="23">
        <v>25.3</v>
      </c>
      <c r="H84" s="13">
        <v>7.4133333333333329E-2</v>
      </c>
      <c r="I84">
        <v>0</v>
      </c>
      <c r="J84" s="14">
        <v>7984.1</v>
      </c>
      <c r="K84" s="32">
        <v>0</v>
      </c>
      <c r="L84" s="28">
        <v>4887</v>
      </c>
      <c r="M84" s="11">
        <v>7.3</v>
      </c>
      <c r="N84" s="10">
        <v>-5.666666666666667</v>
      </c>
      <c r="O84" s="11">
        <v>1.1333333333333335</v>
      </c>
      <c r="P84" s="24">
        <v>3.007281250000001</v>
      </c>
      <c r="Q84" s="23">
        <v>26.7</v>
      </c>
      <c r="R84" s="13">
        <v>6.8528464017185819E-2</v>
      </c>
      <c r="S84">
        <v>0</v>
      </c>
      <c r="T84" s="14">
        <v>7927.2</v>
      </c>
      <c r="U84" s="32">
        <v>0</v>
      </c>
      <c r="V84" s="28">
        <v>4600.8</v>
      </c>
      <c r="W84" s="11">
        <v>5.3</v>
      </c>
      <c r="X84" s="10">
        <v>-7.9666666666666677</v>
      </c>
      <c r="Y84" s="11">
        <v>1.3</v>
      </c>
      <c r="Z84" s="24">
        <v>3.5591818181818184</v>
      </c>
      <c r="AA84" s="23">
        <v>26.7</v>
      </c>
      <c r="AB84" s="13">
        <v>6.6800975506308979E-2</v>
      </c>
      <c r="AC84">
        <f>AC83-AC82+AC83</f>
        <v>1.9105344399999993</v>
      </c>
      <c r="AD84" s="14">
        <v>7898</v>
      </c>
      <c r="AE84" s="32">
        <v>0</v>
      </c>
    </row>
    <row r="85" spans="1:31" x14ac:dyDescent="0.3">
      <c r="A85" s="23" t="s">
        <v>88</v>
      </c>
      <c r="B85" s="8">
        <v>4756.2</v>
      </c>
      <c r="C85" s="11">
        <v>6.5</v>
      </c>
      <c r="D85" s="10">
        <v>-4.166666666666667</v>
      </c>
      <c r="E85" s="11">
        <v>2.4666666666666668</v>
      </c>
      <c r="F85" s="24">
        <v>2.1044516129032265</v>
      </c>
      <c r="G85" s="23">
        <v>25.3</v>
      </c>
      <c r="H85" s="13">
        <v>6.6841552990556136E-2</v>
      </c>
      <c r="I85">
        <v>0</v>
      </c>
      <c r="J85" s="14">
        <v>8013.9</v>
      </c>
      <c r="K85" s="32">
        <v>0</v>
      </c>
      <c r="L85" s="28">
        <v>5060.8999999999996</v>
      </c>
      <c r="M85" s="11">
        <v>5.4</v>
      </c>
      <c r="N85" s="10">
        <v>-6.166666666666667</v>
      </c>
      <c r="O85" s="11">
        <v>1.7666666666666666</v>
      </c>
      <c r="P85" s="24">
        <v>2.5600634920634913</v>
      </c>
      <c r="Q85" s="23">
        <v>25.3</v>
      </c>
      <c r="R85" s="13">
        <v>7.4133333333333329E-2</v>
      </c>
      <c r="S85">
        <v>0</v>
      </c>
      <c r="T85" s="14">
        <v>7984.1</v>
      </c>
      <c r="U85" s="32">
        <v>0</v>
      </c>
      <c r="V85" s="28">
        <v>4887</v>
      </c>
      <c r="W85" s="11">
        <v>7.3</v>
      </c>
      <c r="X85" s="10">
        <v>-5.666666666666667</v>
      </c>
      <c r="Y85" s="11">
        <v>1.1333333333333335</v>
      </c>
      <c r="Z85" s="24">
        <v>3.007281250000001</v>
      </c>
      <c r="AA85" s="23">
        <v>26.7</v>
      </c>
      <c r="AB85" s="13">
        <v>6.8528464017185819E-2</v>
      </c>
      <c r="AC85">
        <v>0</v>
      </c>
      <c r="AD85" s="14">
        <v>7927.2</v>
      </c>
      <c r="AE85" s="32">
        <v>0</v>
      </c>
    </row>
    <row r="86" spans="1:31" x14ac:dyDescent="0.3">
      <c r="A86" s="23" t="s">
        <v>89</v>
      </c>
      <c r="B86" s="8">
        <v>4881.8</v>
      </c>
      <c r="C86" s="11">
        <v>7.9</v>
      </c>
      <c r="D86" s="10">
        <v>-3.9333333333333331</v>
      </c>
      <c r="E86" s="11">
        <v>3.2666666666666671</v>
      </c>
      <c r="F86" s="24">
        <v>2.0110454545454548</v>
      </c>
      <c r="G86" s="23">
        <v>25.3</v>
      </c>
      <c r="H86" s="13">
        <v>6.908066367525828E-2</v>
      </c>
      <c r="I86">
        <v>0</v>
      </c>
      <c r="J86" s="14">
        <v>8076.9</v>
      </c>
      <c r="K86" s="32">
        <v>0</v>
      </c>
      <c r="L86" s="28">
        <v>4756.2</v>
      </c>
      <c r="M86" s="11">
        <v>6.5</v>
      </c>
      <c r="N86" s="10">
        <v>-4.166666666666667</v>
      </c>
      <c r="O86" s="11">
        <v>2.4666666666666668</v>
      </c>
      <c r="P86" s="24">
        <v>2.1044516129032265</v>
      </c>
      <c r="Q86" s="23">
        <v>25.3</v>
      </c>
      <c r="R86" s="13">
        <v>6.6841552990556136E-2</v>
      </c>
      <c r="S86">
        <v>0</v>
      </c>
      <c r="T86" s="14">
        <v>8013.9</v>
      </c>
      <c r="U86" s="32">
        <v>0</v>
      </c>
      <c r="V86" s="28">
        <v>5060.8999999999996</v>
      </c>
      <c r="W86" s="11">
        <v>5.4</v>
      </c>
      <c r="X86" s="10">
        <v>-6.166666666666667</v>
      </c>
      <c r="Y86" s="11">
        <v>1.7666666666666666</v>
      </c>
      <c r="Z86" s="24">
        <v>2.5600634920634913</v>
      </c>
      <c r="AA86" s="23">
        <v>25.3</v>
      </c>
      <c r="AB86" s="13">
        <v>7.4133333333333329E-2</v>
      </c>
      <c r="AC86">
        <v>0</v>
      </c>
      <c r="AD86" s="14">
        <v>7984.1</v>
      </c>
      <c r="AE86" s="32">
        <v>0</v>
      </c>
    </row>
    <row r="87" spans="1:31" x14ac:dyDescent="0.3">
      <c r="A87" s="23" t="s">
        <v>90</v>
      </c>
      <c r="B87" s="8">
        <v>5085.6000000000004</v>
      </c>
      <c r="C87" s="11">
        <v>11</v>
      </c>
      <c r="D87" s="10">
        <v>-3.8000000000000003</v>
      </c>
      <c r="E87" s="11">
        <v>3.7666666666666671</v>
      </c>
      <c r="F87" s="24">
        <v>2.0410468750000001</v>
      </c>
      <c r="G87" s="23">
        <v>25.3</v>
      </c>
      <c r="H87" s="13">
        <v>6.7399112613564335E-2</v>
      </c>
      <c r="I87">
        <v>0</v>
      </c>
      <c r="J87" s="14">
        <v>8126.6</v>
      </c>
      <c r="K87" s="32">
        <v>0</v>
      </c>
      <c r="L87" s="28">
        <v>4881.8</v>
      </c>
      <c r="M87" s="11">
        <v>7.9</v>
      </c>
      <c r="N87" s="10">
        <v>-3.9333333333333331</v>
      </c>
      <c r="O87" s="11">
        <v>3.2666666666666671</v>
      </c>
      <c r="P87" s="24">
        <v>2.0110454545454548</v>
      </c>
      <c r="Q87" s="23">
        <v>25.3</v>
      </c>
      <c r="R87" s="13">
        <v>6.908066367525828E-2</v>
      </c>
      <c r="S87">
        <v>0</v>
      </c>
      <c r="T87" s="14">
        <v>8076.9</v>
      </c>
      <c r="U87" s="32">
        <v>0</v>
      </c>
      <c r="V87" s="28">
        <v>4756.2</v>
      </c>
      <c r="W87" s="11">
        <v>6.5</v>
      </c>
      <c r="X87" s="10">
        <v>-4.166666666666667</v>
      </c>
      <c r="Y87" s="11">
        <v>2.4666666666666668</v>
      </c>
      <c r="Z87" s="24">
        <v>2.1044516129032265</v>
      </c>
      <c r="AA87" s="23">
        <v>25.3</v>
      </c>
      <c r="AB87" s="13">
        <v>6.6841552990556136E-2</v>
      </c>
      <c r="AC87">
        <v>0</v>
      </c>
      <c r="AD87" s="14">
        <v>8013.9</v>
      </c>
      <c r="AE87" s="32">
        <v>0</v>
      </c>
    </row>
    <row r="88" spans="1:31" s="51" customFormat="1" x14ac:dyDescent="0.3">
      <c r="A88" s="50"/>
      <c r="B88" s="19"/>
      <c r="C88" s="50"/>
      <c r="D88" s="20"/>
      <c r="E88" s="21"/>
      <c r="G88" s="52"/>
      <c r="H88" s="52"/>
      <c r="J88" s="52"/>
      <c r="K88" s="53"/>
      <c r="L88" s="27"/>
      <c r="M88" s="21"/>
      <c r="N88" s="20"/>
      <c r="O88" s="21"/>
      <c r="Q88" s="50"/>
      <c r="R88" s="6"/>
      <c r="T88" s="22"/>
      <c r="U88" s="31"/>
      <c r="V88" s="27"/>
      <c r="W88" s="21"/>
      <c r="X88" s="20"/>
      <c r="Y88" s="21"/>
      <c r="AA88" s="50"/>
      <c r="AB88" s="6"/>
      <c r="AD88" s="22"/>
      <c r="AE88" s="31"/>
    </row>
    <row r="89" spans="1:31" s="51" customFormat="1" x14ac:dyDescent="0.3">
      <c r="K89" s="53"/>
      <c r="L89" s="27"/>
      <c r="M89" s="50"/>
      <c r="N89" s="20"/>
      <c r="O89" s="21"/>
      <c r="Q89" s="52"/>
      <c r="R89" s="52"/>
      <c r="S89" s="52"/>
      <c r="T89" s="52"/>
      <c r="U89" s="53"/>
      <c r="V89" s="27"/>
      <c r="W89" s="21"/>
      <c r="X89" s="20"/>
      <c r="Y89" s="21"/>
      <c r="AA89" s="50"/>
      <c r="AB89" s="6"/>
      <c r="AD89" s="22"/>
      <c r="AE89" s="31"/>
    </row>
    <row r="90" spans="1:31" s="51" customFormat="1" x14ac:dyDescent="0.3">
      <c r="K90" s="53"/>
      <c r="L90" s="54"/>
      <c r="U90" s="53"/>
      <c r="V90" s="27"/>
      <c r="W90" s="50"/>
      <c r="X90" s="20"/>
      <c r="Y90" s="21"/>
      <c r="AA90" s="52"/>
      <c r="AB90" s="52"/>
      <c r="AC90" s="52"/>
      <c r="AD90" s="52"/>
      <c r="AE90" s="53"/>
    </row>
    <row r="91" spans="1:31" s="51" customFormat="1" x14ac:dyDescent="0.3">
      <c r="K91" s="53"/>
      <c r="L91" s="54"/>
      <c r="U91" s="53"/>
      <c r="V91" s="54"/>
      <c r="AE91" s="53"/>
    </row>
    <row r="92" spans="1:31" s="51" customFormat="1" x14ac:dyDescent="0.3">
      <c r="K92" s="53"/>
      <c r="L92" s="54"/>
      <c r="U92" s="53"/>
      <c r="V92" s="54"/>
      <c r="AE92" s="53"/>
    </row>
    <row r="93" spans="1:31" s="51" customFormat="1" x14ac:dyDescent="0.3">
      <c r="K93" s="53"/>
      <c r="L93" s="54"/>
      <c r="U93" s="53"/>
      <c r="V93" s="54"/>
      <c r="AE93" s="53"/>
    </row>
    <row r="94" spans="1:31" s="51" customFormat="1" x14ac:dyDescent="0.3">
      <c r="K94" s="53"/>
      <c r="L94" s="54"/>
      <c r="U94" s="53"/>
      <c r="V94" s="54"/>
      <c r="AE94" s="53"/>
    </row>
    <row r="95" spans="1:31" s="51" customFormat="1" x14ac:dyDescent="0.3">
      <c r="K95" s="53"/>
      <c r="L95" s="54"/>
      <c r="U95" s="53"/>
      <c r="V95" s="54"/>
      <c r="AE95" s="53"/>
    </row>
    <row r="96" spans="1:31" s="51" customFormat="1" x14ac:dyDescent="0.3">
      <c r="K96" s="53"/>
      <c r="L96" s="54"/>
      <c r="U96" s="53"/>
      <c r="V96" s="54"/>
      <c r="AE96" s="53"/>
    </row>
    <row r="97" spans="11:31" s="51" customFormat="1" x14ac:dyDescent="0.3">
      <c r="K97" s="53"/>
      <c r="L97" s="54"/>
      <c r="U97" s="53"/>
      <c r="V97" s="54"/>
      <c r="AE97" s="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080066-69FA-4401-926E-847401C39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without H</vt:lpstr>
      <vt:lpstr>AvailableData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Pavlenko</dc:creator>
  <cp:lastModifiedBy>Oksana Pavlenko</cp:lastModifiedBy>
  <dcterms:created xsi:type="dcterms:W3CDTF">2026-05-09T12:33:13Z</dcterms:created>
  <dcterms:modified xsi:type="dcterms:W3CDTF">2026-10-07T14:23:55Z</dcterms:modified>
</cp:coreProperties>
</file>